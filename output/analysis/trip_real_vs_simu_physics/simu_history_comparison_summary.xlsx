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4d574235d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62645a8da09433c"/>
    <x:sheet xmlns:r="http://schemas.openxmlformats.org/officeDocument/2006/relationships" name="趟次汇总" sheetId="2" r:id="R4d3f0e7ef79e4b39"/>
    <x:sheet xmlns:r="http://schemas.openxmlformats.org/officeDocument/2006/relationships" name="统计指标" sheetId="3" r:id="Rf399d35f53f74eb1"/>
    <x:sheet xmlns:r="http://schemas.openxmlformats.org/officeDocument/2006/relationships" name="区间明细" sheetId="4" r:id="Rb855e020fc19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&quot; kWh&quot;"/>
    <x:numFmt numFmtId="202" formatCode="0.000&quot;%&quot;"/>
    <x:numFmt numFmtId="203" formatCode="0.0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6B87"/>
      <x:name val="Carlito"/>
    </x:font>
    <x:font>
      <x:b/>
      <x:sz val="10"/>
      <x:color rgb="FFFFFFFF"/>
      <x:name val="Carlito"/>
    </x:font>
    <x:font>
      <x:b/>
      <x:sz val="13"/>
      <x:color rgb="FF1F2933"/>
      <x:name val="Carlito"/>
    </x:font>
    <x:font>
      <x:sz val="10"/>
      <x:color rgb="FF1F2933"/>
      <x:name val="Carlito"/>
    </x:font>
    <x:font>
      <x:i/>
      <x:sz val="9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6B87"/>
      </x:patternFill>
    </x:fill>
    <x:fill>
      <x:patternFill patternType="solid">
        <x:fgColor rgb="FFEAF4F6"/>
      </x:patternFill>
    </x:fill>
    <x:fill>
      <x:patternFill patternType="solid">
        <x:fgColor rgb="FF2E8B78"/>
      </x:patternFill>
    </x:fill>
    <x:fill>
      <x:patternFill patternType="solid">
        <x:fgColor rgb="FFEAF5F0"/>
      </x:patternFill>
    </x:fill>
    <x:fill>
      <x:patternFill patternType="solid">
        <x:fgColor rgb="FFF7F9FA"/>
      </x:patternFill>
    </x:fill>
  </x:fills>
  <x:borders count="12">
    <x:border/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hair">
        <x:color rgb="FFD9E2E7"/>
      </x:left>
      <x:top style="hair">
        <x:color rgb="FFD9E2E7"/>
      </x:top>
    </x:border>
    <x:border>
      <x:top style="hair">
        <x:color rgb="FFD9E2E7"/>
      </x:top>
    </x:border>
    <x:border>
      <x:right style="hair">
        <x:color rgb="FFD9E2E7"/>
      </x:right>
      <x:top style="hair">
        <x:color rgb="FFD9E2E7"/>
      </x:top>
    </x:border>
    <x:border>
      <x:left style="hair">
        <x:color rgb="FFD9E2E7"/>
      </x:left>
    </x:border>
    <x:border>
      <x:right style="hair">
        <x:color rgb="FFD9E2E7"/>
      </x:right>
    </x:border>
    <x:border>
      <x:left style="hair">
        <x:color rgb="FFD9E2E7"/>
      </x:left>
      <x:bottom style="hair">
        <x:color rgb="FFD9E2E7"/>
      </x:bottom>
    </x:border>
    <x:border>
      <x:bottom style="hair">
        <x:color rgb="FFD9E2E7"/>
      </x:bottom>
    </x:border>
    <x:border>
      <x:right style="hair">
        <x:color rgb="FFD9E2E7"/>
      </x:right>
      <x:bottom style="hair">
        <x:color rgb="FFD9E2E7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1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579a640f2487a" /><Relationship Type="http://schemas.openxmlformats.org/officeDocument/2006/relationships/theme" Target="/xl/theme/theme1.xml" Id="R34642699f84943a3" /><Relationship Type="http://schemas.openxmlformats.org/officeDocument/2006/relationships/sharedStrings" Target="/xl/sharedStrings.xml" Id="R633d5905d23043bd" /><Relationship Type="http://schemas.openxmlformats.org/officeDocument/2006/relationships/worksheet" Target="/xl/worksheets/sheet1.xml" Id="R262645a8da09433c" /><Relationship Type="http://schemas.openxmlformats.org/officeDocument/2006/relationships/worksheet" Target="/xl/worksheets/sheet2.xml" Id="R4d3f0e7ef79e4b39" /><Relationship Type="http://schemas.openxmlformats.org/officeDocument/2006/relationships/worksheet" Target="/xl/worksheets/sheet3.xml" Id="Rf399d35f53f74eb1" /><Relationship Type="http://schemas.openxmlformats.org/officeDocument/2006/relationships/worksheet" Target="/xl/worksheets/sheet4.xml" Id="Rb855e020fc1945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1dde867a174c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13 趟历史真实能耗与 Simu 机械能对比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历史真实能耗(kWh)</c:v>
          </c:tx>
          <c:cat>
            <c:strRef>
              <c:f>'总览'!$A$8:$A$20</c:f>
              <c:strCache>
                <c:ptCount val="0"/>
              </c:strCache>
            </c:strRef>
          </c:cat>
          <c:val>
            <c:numRef>
              <c:f>'总览'!$B$8:$B$20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Simu物理机械能耗(kWh)</c:v>
          </c:tx>
          <c:cat>
            <c:strRef>
              <c:f>'总览'!$A$8:$A$20</c:f>
              <c:strCache>
                <c:ptCount val="0"/>
              </c:strCache>
            </c:strRef>
          </c:cat>
          <c:val>
            <c:numRef>
              <c:f>'总览'!$C$8:$C$20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趟次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能耗 (kWh)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1dde867a174c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ipSummaryTable" displayName="TripSummaryTable" ref="A1:I14" headerRowCount="1">
  <x:tableColumns count="9">
    <x:tableColumn id="1" name="﻿趟次"/>
    <x:tableColumn id="2" name="全局趟次ID"/>
    <x:tableColumn id="3" name="历史真实能耗(kWh)"/>
    <x:tableColumn id="4" name="Simu物理机械能耗(kWh)"/>
    <x:tableColumn id="5" name="Simu-真实(kWh)"/>
    <x:tableColumn id="6" name="相对差异(%)"/>
    <x:tableColumn id="7" name="绝对差异(kWh)"/>
    <x:tableColumn id="8" name="绝对相对差异(%)"/>
    <x:tableColumn id="9" name="全线图"/>
  </x:tableColumns>
  <x:tableStyleInfo name="TableStyleMedium2" showRowStripes="1"/>
</x:table>
</file>

<file path=xl/tables/table2.xml><?xml version="1.0" encoding="utf-8"?>
<x:table xmlns:x="http://schemas.openxmlformats.org/spreadsheetml/2006/main" id="2" name="StatisticsTable" displayName="StatisticsTable" ref="A1:C10" headerRowCount="1">
  <x:tableColumns count="3">
    <x:tableColumn id="1" name="﻿统计指标"/>
    <x:tableColumn id="2" name="数值"/>
    <x:tableColumn id="3" name="单位"/>
  </x:tableColumns>
  <x:tableStyleInfo name="TableStyleMedium2" showRowStripes="1"/>
</x:table>
</file>

<file path=xl/tables/table3.xml><?xml version="1.0" encoding="utf-8"?>
<x:table xmlns:x="http://schemas.openxmlformats.org/spreadsheetml/2006/main" id="3" name="SectionDetailTable" displayName="SectionDetailTable" ref="A1:R339" headerRowCount="1">
  <x:tableColumns count="18">
    <x:tableColumn id="1" name="﻿趟次"/>
    <x:tableColumn id="2" name="全局趟次ID"/>
    <x:tableColumn id="3" name="序号"/>
    <x:tableColumn id="4" name="区间"/>
    <x:tableColumn id="5" name="segment"/>
    <x:tableColumn id="6" name="来源run_id"/>
    <x:tableColumn id="7" name="绝对开始时间"/>
    <x:tableColumn id="8" name="绝对结束时间"/>
    <x:tableColumn id="9" name="趟次选择方式"/>
    <x:tableColumn id="10" name="数据读取来源"/>
    <x:tableColumn id="11" name="样本数"/>
    <x:tableColumn id="12" name="运行时间(s)"/>
    <x:tableColumn id="13" name="区间里程(km)"/>
    <x:tableColumn id="14" name="重量(t)"/>
    <x:tableColumn id="15" name="历史真实能耗(kWh)"/>
    <x:tableColumn id="16" name="Simu物理机械能耗(kWh)"/>
    <x:tableColumn id="17" name="Simu-真实(kWh)"/>
    <x:tableColumn id="18" name="相对差异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ceb9ebf83f43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6450df99f0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c5e35e444844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4045e26fe247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1299991607666" hidden="0" customWidth="1"/>
    <x:col min="3" max="3" width="18.1299991607666" hidden="0" customWidth="1"/>
    <x:col min="4" max="4" width="13.130000114440918" hidden="0" customWidth="1"/>
    <x:col min="5" max="5" width="13.130000114440918" hidden="0" customWidth="1"/>
    <x:col min="6" max="6" width="2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</x:cols>
  <x:sheetData>
    <x:row r="1" ht="21.75" customHeight="1">
      <x:c r="A1" s="4" t="str">
        <x:v>Simu 物理机械能与历史真实能耗对比汇总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1.7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18" customHeight="1">
      <x:c r="A3" s="8" t="str">
        <x:v>范围：13 趟全线、26 个区间；Simu 为轮轨侧正牵引机械能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20.25" customHeight="1">
      <x:c r="A4" s="12" t="str">
        <x:v>趟次数</x:v>
      </x:c>
      <x:c r="B4" s="12"/>
      <x:c r="C4" s="12" t="str">
        <x:v>平均偏差</x:v>
      </x:c>
      <x:c r="D4" s="12"/>
      <x:c r="E4" s="12" t="str">
        <x:v>MAE</x:v>
      </x:c>
      <x:c r="F4" s="12"/>
      <x:c r="G4" s="12" t="str">
        <x:v>MAPE</x:v>
      </x:c>
      <x:c r="H4" s="12"/>
      <x:c r="I4" s="12" t="str">
        <x:v>总体差异率</x:v>
      </x:c>
      <x:c r="J4" s="12"/>
    </x:row>
    <x:row r="5" ht="20.25" customHeight="1">
      <x:c r="A5" s="24" t="n">
        <x:f>COUNTA('趟次汇总'!A2:A14)</x:f>
        <x:v>13</x:v>
      </x:c>
      <x:c r="B5" s="25"/>
      <x:c r="C5" s="26" t="n">
        <x:f>AVERAGE('趟次汇总'!E2:E14)</x:f>
        <x:v>-2.802208327470422</x:v>
      </x:c>
      <x:c r="D5" s="22"/>
      <x:c r="E5" s="26" t="n">
        <x:f>AVERAGE('趟次汇总'!G2:G14)</x:f>
        <x:v>4.84383333964955</x:v>
      </x:c>
      <x:c r="F5" s="22"/>
      <x:c r="G5" s="27" t="n">
        <x:f>AVERAGE('趟次汇总'!H2:H14)</x:f>
        <x:v>1.1267273707920646</x:v>
      </x:c>
      <x:c r="H5" s="22"/>
      <x:c r="I5" s="27" t="n">
        <x:f>(SUM('趟次汇总'!D2:D14)-SUM('趟次汇总'!C2:C14))/SUM('趟次汇总'!C2:C14)*100</x:f>
        <x:v>-0.6592664861110559</x:v>
      </x:c>
      <x:c r="J5" s="23"/>
    </x:row>
    <x:row r="7" ht="16.5" customHeight="1">
      <x:c r="A7" s="38" t="str">
        <x:v>趟次</x:v>
      </x:c>
      <x:c r="B7" s="39" t="str">
        <x:v>历史真实能耗(kWh)</x:v>
      </x:c>
      <x:c r="C7" s="39" t="str">
        <x:v>Simu物理机械能耗(kWh)</x:v>
      </x:c>
      <x:c r="D7" s="39" t="str">
        <x:v>差异(kWh)</x:v>
      </x:c>
      <x:c r="E7" s="40" t="str">
        <x:v>相对差异(%)</x:v>
      </x:c>
    </x:row>
    <x:row r="8" ht="16.5" customHeight="1">
      <x:c r="A8" s="50" t="n">
        <x:f>'趟次汇总'!A2</x:f>
        <x:v>1</x:v>
      </x:c>
      <x:c r="B8" s="59" t="n">
        <x:f>'趟次汇总'!C2</x:f>
        <x:v>424.8559146155764</x:v>
      </x:c>
      <x:c r="C8" s="59" t="n">
        <x:f>'趟次汇总'!D2</x:f>
        <x:v>416.1247077654953</x:v>
      </x:c>
      <x:c r="D8" s="59" t="n">
        <x:f>'趟次汇总'!E2</x:f>
        <x:v>-8.731206850081094</x:v>
      </x:c>
      <x:c r="E8" s="62" t="n">
        <x:f>'趟次汇总'!F2</x:f>
        <x:v>-2.0550983403353054</x:v>
      </x:c>
    </x:row>
    <x:row r="9" ht="16.5" customHeight="1">
      <x:c r="A9" s="53" t="n">
        <x:f>'趟次汇总'!A3</x:f>
        <x:v>3</x:v>
      </x:c>
      <x:c r="B9" s="60" t="n">
        <x:f>'趟次汇总'!C3</x:f>
        <x:v>408.7124232569931</x:v>
      </x:c>
      <x:c r="C9" s="60" t="n">
        <x:f>'趟次汇总'!D3</x:f>
        <x:v>406.4255332855292</x:v>
      </x:c>
      <x:c r="D9" s="60" t="n">
        <x:f>'趟次汇总'!E3</x:f>
        <x:v>-2.286889971463893</x:v>
      </x:c>
      <x:c r="E9" s="63" t="n">
        <x:f>'趟次汇总'!F3</x:f>
        <x:v>-0.5595352236273782</x:v>
      </x:c>
    </x:row>
    <x:row r="10" ht="16.5" customHeight="1">
      <x:c r="A10" s="53" t="n">
        <x:f>'趟次汇总'!A4</x:f>
        <x:v>4</x:v>
      </x:c>
      <x:c r="B10" s="60" t="n">
        <x:f>'趟次汇总'!C4</x:f>
        <x:v>408.2457224906041</x:v>
      </x:c>
      <x:c r="C10" s="60" t="n">
        <x:f>'趟次汇总'!D4</x:f>
        <x:v>404.14419118469726</x:v>
      </x:c>
      <x:c r="D10" s="60" t="n">
        <x:f>'趟次汇总'!E4</x:f>
        <x:v>-4.10153130590686</x:v>
      </x:c>
      <x:c r="E10" s="63" t="n">
        <x:f>'趟次汇总'!F4</x:f>
        <x:v>-1.0046722059656752</x:v>
      </x:c>
    </x:row>
    <x:row r="11" ht="16.5" customHeight="1">
      <x:c r="A11" s="53" t="n">
        <x:f>'趟次汇总'!A5</x:f>
        <x:v>5</x:v>
      </x:c>
      <x:c r="B11" s="60" t="n">
        <x:f>'趟次汇总'!C5</x:f>
        <x:v>405.4065904797847</x:v>
      </x:c>
      <x:c r="C11" s="60" t="n">
        <x:f>'趟次汇总'!D5</x:f>
        <x:v>403.98463144390865</x:v>
      </x:c>
      <x:c r="D11" s="60" t="n">
        <x:f>'趟次汇总'!E5</x:f>
        <x:v>-1.421959035876057</x:v>
      </x:c>
      <x:c r="E11" s="63" t="n">
        <x:f>'趟次汇总'!F5</x:f>
        <x:v>-0.3507488702127949</x:v>
      </x:c>
    </x:row>
    <x:row r="12" ht="16.5" customHeight="1">
      <x:c r="A12" s="53" t="n">
        <x:f>'趟次汇总'!A6</x:f>
        <x:v>6</x:v>
      </x:c>
      <x:c r="B12" s="60" t="n">
        <x:f>'趟次汇总'!C6</x:f>
        <x:v>446.28787538146526</x:v>
      </x:c>
      <x:c r="C12" s="60" t="n">
        <x:f>'趟次汇总'!D6</x:f>
        <x:v>441.645916465371</x:v>
      </x:c>
      <x:c r="D12" s="60" t="n">
        <x:f>'趟次汇总'!E6</x:f>
        <x:v>-4.641958916094268</x:v>
      </x:c>
      <x:c r="E12" s="63" t="n">
        <x:f>'趟次汇总'!F6</x:f>
        <x:v>-1.0401266026164269</x:v>
      </x:c>
    </x:row>
    <x:row r="13" ht="16.5" customHeight="1">
      <x:c r="A13" s="53" t="n">
        <x:f>'趟次汇总'!A7</x:f>
        <x:v>8</x:v>
      </x:c>
      <x:c r="B13" s="60" t="n">
        <x:f>'趟次汇总'!C7</x:f>
        <x:v>407.96426541405555</x:v>
      </x:c>
      <x:c r="C13" s="60" t="n">
        <x:f>'趟次汇总'!D7</x:f>
        <x:v>403.89085828099104</x:v>
      </x:c>
      <x:c r="D13" s="60" t="n">
        <x:f>'趟次汇总'!E7</x:f>
        <x:v>-4.0734071330645065</x:v>
      </x:c>
      <x:c r="E13" s="63" t="n">
        <x:f>'趟次汇总'!F7</x:f>
        <x:v>-0.998471552142019</x:v>
      </x:c>
    </x:row>
    <x:row r="14" ht="16.5" customHeight="1">
      <x:c r="A14" s="53" t="n">
        <x:f>'趟次汇总'!A8</x:f>
        <x:v>10</x:v>
      </x:c>
      <x:c r="B14" s="60" t="n">
        <x:f>'趟次汇总'!C8</x:f>
        <x:v>410.2173760568819</x:v>
      </x:c>
      <x:c r="C14" s="60" t="n">
        <x:f>'趟次汇总'!D8</x:f>
        <x:v>405.6647839907598</x:v>
      </x:c>
      <x:c r="D14" s="60" t="n">
        <x:f>'趟次汇总'!E8</x:f>
        <x:v>-4.552592066122088</x:v>
      </x:c>
      <x:c r="E14" s="63" t="n">
        <x:f>'趟次汇总'!F8</x:f>
        <x:v>-1.109799908985526</x:v>
      </x:c>
    </x:row>
    <x:row r="15" ht="16.5" customHeight="1">
      <x:c r="A15" s="53" t="n">
        <x:f>'趟次汇总'!A9</x:f>
        <x:v>12</x:v>
      </x:c>
      <x:c r="B15" s="60" t="n">
        <x:f>'趟次汇总'!C9</x:f>
        <x:v>408.89051522077085</x:v>
      </x:c>
      <x:c r="C15" s="60" t="n">
        <x:f>'趟次汇总'!D9</x:f>
        <x:v>405.2443521557019</x:v>
      </x:c>
      <x:c r="D15" s="60" t="n">
        <x:f>'趟次汇总'!E9</x:f>
        <x:v>-3.646163065068947</x:v>
      </x:c>
      <x:c r="E15" s="63" t="n">
        <x:f>'趟次汇总'!F9</x:f>
        <x:v>-0.8917211158836215</x:v>
      </x:c>
    </x:row>
    <x:row r="16" ht="16.5" customHeight="1">
      <x:c r="A16" s="53" t="n">
        <x:f>'趟次汇总'!A10</x:f>
        <x:v>14</x:v>
      </x:c>
      <x:c r="B16" s="60" t="n">
        <x:f>'趟次汇总'!C10</x:f>
        <x:v>445.9762958176528</x:v>
      </x:c>
      <x:c r="C16" s="60" t="n">
        <x:f>'趟次汇总'!D10</x:f>
        <x:v>441.50061949769383</x:v>
      </x:c>
      <x:c r="D16" s="60" t="n">
        <x:f>'趟次汇总'!E10</x:f>
        <x:v>-4.47567631995895</x:v>
      </x:c>
      <x:c r="E16" s="63" t="n">
        <x:f>'趟次汇总'!F10</x:f>
        <x:v>-1.0035682079813786</x:v>
      </x:c>
    </x:row>
    <x:row r="17" ht="16.5" customHeight="1">
      <x:c r="A17" s="53" t="n">
        <x:f>'趟次汇总'!A11</x:f>
        <x:v>15</x:v>
      </x:c>
      <x:c r="B17" s="60" t="n">
        <x:f>'趟次汇总'!C11</x:f>
        <x:v>403.2795096097222</x:v>
      </x:c>
      <x:c r="C17" s="60" t="n">
        <x:f>'趟次汇总'!D11</x:f>
        <x:v>399.35551013110313</x:v>
      </x:c>
      <x:c r="D17" s="60" t="n">
        <x:f>'趟次汇总'!E11</x:f>
        <x:v>-3.9239994786190664</x:v>
      </x:c>
      <x:c r="E17" s="63" t="n">
        <x:f>'趟次汇总'!F11</x:f>
        <x:v>-0.9730222798615671</x:v>
      </x:c>
    </x:row>
    <x:row r="18" ht="16.5" customHeight="1">
      <x:c r="A18" s="53" t="n">
        <x:f>'趟次汇总'!A12</x:f>
        <x:v>42</x:v>
      </x:c>
      <x:c r="B18" s="60" t="n">
        <x:f>'趟次汇总'!C12</x:f>
        <x:v>454.40523003824995</x:v>
      </x:c>
      <x:c r="C18" s="60" t="n">
        <x:f>'趟次汇总'!D12</x:f>
        <x:v>467.6757926174143</x:v>
      </x:c>
      <x:c r="D18" s="60" t="n">
        <x:f>'趟次汇总'!E12</x:f>
        <x:v>13.270562579164334</x:v>
      </x:c>
      <x:c r="E18" s="63" t="n">
        <x:f>'趟次汇总'!F12</x:f>
        <x:v>2.9204247006680077</x:v>
      </x:c>
    </x:row>
    <x:row r="19" ht="16.5" customHeight="1">
      <x:c r="A19" s="53" t="n">
        <x:f>'趟次汇总'!A13</x:f>
        <x:v>62</x:v>
      </x:c>
      <x:c r="B19" s="60" t="n">
        <x:f>'趟次汇总'!C13</x:f>
        <x:v>450.45656254192363</x:v>
      </x:c>
      <x:c r="C19" s="60" t="n">
        <x:f>'趟次汇总'!D13</x:f>
        <x:v>446.9976290563031</x:v>
      </x:c>
      <x:c r="D19" s="60" t="n">
        <x:f>'趟次汇总'!E13</x:f>
        <x:v>-3.4589334856205483</x:v>
      </x:c>
      <x:c r="E19" s="63" t="n">
        <x:f>'趟次汇总'!F13</x:f>
        <x:v>-0.7678728146620415</x:v>
      </x:c>
    </x:row>
    <x:row r="20" ht="16.5" customHeight="1">
      <x:c r="A20" s="56" t="n">
        <x:f>'趟次汇总'!A14</x:f>
        <x:v>67</x:v>
      </x:c>
      <x:c r="B20" s="61" t="n">
        <x:f>'趟次汇总'!C14</x:f>
        <x:v>450.9440844277708</x:v>
      </x:c>
      <x:c r="C20" s="61" t="n">
        <x:f>'趟次汇总'!D14</x:f>
        <x:v>446.55913121936726</x:v>
      </x:c>
      <x:c r="D20" s="61" t="n">
        <x:f>'趟次汇总'!E14</x:f>
        <x:v>-4.3849532084035445</x:v>
      </x:c>
      <x:c r="E20" s="64" t="n">
        <x:f>'趟次汇总'!F14</x:f>
        <x:v>-0.9723939973550971</x:v>
      </x:c>
    </x:row>
    <x:row r="22" ht="18" customHeight="1">
      <x:c r="A22" s="68" t="str">
        <x:v>口径说明：差异 = Simu 物理机械能耗 - 历史真实能耗；负值表示 Simu 低估，正值表示 Simu 高估。</x:v>
      </x:c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</x:row>
  </x:sheetData>
  <x:mergeCells>
    <x:mergeCell ref="A1:O2"/>
    <x:mergeCell ref="A3:O3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  <x:mergeCell ref="A22:O22"/>
  </x:mergeCells>
  <x:conditionalFormatting sqref="D8:E20">
    <x:cfRule type="colorScale" priority="1">
      <x:colorScale>
        <x:cfvo type="min"/>
        <x:cfvo type="num" val="0"/>
        <x:cfvo type="max"/>
        <x:color rgb="FFC94C4C"/>
        <x:color rgb="FFFFF7E6"/>
        <x:color rgb="FF2E8B78"/>
      </x:colorScale>
    </x:cfRule>
  </x:conditionalFormatting>
  <x:pageMargins left="0.7" right="0.7" top="0.75" bottom="0.75" header="0.3" footer="0.3"/>
  <x:drawing xmlns:r="http://schemas.openxmlformats.org/officeDocument/2006/relationships" r:id="R1cceb9ebf83f437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29.3799991607666" hidden="0" customWidth="1"/>
    <x:col min="3" max="3" width="18.75" hidden="0" customWidth="1"/>
    <x:col min="4" max="4" width="23.1299991607666" hidden="0" customWidth="1"/>
    <x:col min="5" max="5" width="15.630000114440918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40" hidden="0" customWidth="1"/>
  </x:cols>
  <x:sheetData>
    <x:row r="1" ht="27" customHeight="1">
      <x:c r="A1" s="38" t="str">
        <x:v>﻿趟次</x:v>
      </x:c>
      <x:c r="B1" s="39" t="str">
        <x:v>全局趟次ID</x:v>
      </x:c>
      <x:c r="C1" s="39" t="str">
        <x:v>历史真实能耗(kWh)</x:v>
      </x:c>
      <x:c r="D1" s="39" t="str">
        <x:v>Simu物理机械能耗(kWh)</x:v>
      </x:c>
      <x:c r="E1" s="39" t="str">
        <x:v>Simu-真实(kWh)</x:v>
      </x:c>
      <x:c r="F1" s="39" t="str">
        <x:v>相对差异(%)</x:v>
      </x:c>
      <x:c r="G1" s="39" t="str">
        <x:v>绝对差异(kWh)</x:v>
      </x:c>
      <x:c r="H1" s="39" t="str">
        <x:v>绝对相对差异(%)</x:v>
      </x:c>
      <x:c r="I1" s="40" t="str">
        <x:v>全线图</x:v>
      </x:c>
    </x:row>
    <x:row r="2" ht="16.5" customHeight="1">
      <x:c r="A2" s="69" t="n">
        <x:v>1</x:v>
      </x:c>
      <x:c r="B2" s="51" t="str">
        <x:v>UP001_20240701_055954_R1</x:v>
      </x:c>
      <x:c r="C2" s="59" t="n">
        <x:v>424.8559146155764</x:v>
      </x:c>
      <x:c r="D2" s="59" t="n">
        <x:v>416.1247077654953</x:v>
      </x:c>
      <x:c r="E2" s="59" t="n">
        <x:v>-8.731206850081094</x:v>
      </x:c>
      <x:c r="F2" s="72" t="n">
        <x:v>-2.0550983403353054</x:v>
      </x:c>
      <x:c r="G2" s="59" t="n">
        <x:v>8.731206850081094</x:v>
      </x:c>
      <x:c r="H2" s="72" t="n">
        <x:v>2.0550983403353054</x:v>
      </x:c>
      <x:c r="I2" s="52" t="str">
        <x:v>D:\energy_conservation\output\analysis\trip_real_vs_simu_physics\trip001\trip001_real_vs_simu_physical_energy_distance.png</x:v>
      </x:c>
    </x:row>
    <x:row r="3" ht="16.5" customHeight="1">
      <x:c r="A3" s="70" t="n">
        <x:v>3</x:v>
      </x:c>
      <x:c r="B3" s="54" t="str">
        <x:v>UP003_20240701_102344_R111</x:v>
      </x:c>
      <x:c r="C3" s="60" t="n">
        <x:v>408.7124232569931</x:v>
      </x:c>
      <x:c r="D3" s="60" t="n">
        <x:v>406.4255332855292</x:v>
      </x:c>
      <x:c r="E3" s="60" t="n">
        <x:v>-2.286889971463893</x:v>
      </x:c>
      <x:c r="F3" s="73" t="n">
        <x:v>-0.5595352236273782</x:v>
      </x:c>
      <x:c r="G3" s="60" t="n">
        <x:v>2.286889971463893</x:v>
      </x:c>
      <x:c r="H3" s="73" t="n">
        <x:v>0.5595352236273782</x:v>
      </x:c>
      <x:c r="I3" s="55" t="str">
        <x:v>D:\energy_conservation\output\analysis\trip_real_vs_simu_physics\trip003\trip003_real_vs_simu_physical_energy_distance.png</x:v>
      </x:c>
    </x:row>
    <x:row r="4" ht="16.5" customHeight="1">
      <x:c r="A4" s="70" t="n">
        <x:v>4</x:v>
      </x:c>
      <x:c r="B4" s="54" t="str">
        <x:v>UP004_20240701_123753_R165</x:v>
      </x:c>
      <x:c r="C4" s="60" t="n">
        <x:v>408.2457224906041</x:v>
      </x:c>
      <x:c r="D4" s="60" t="n">
        <x:v>404.14419118469726</x:v>
      </x:c>
      <x:c r="E4" s="60" t="n">
        <x:v>-4.10153130590686</x:v>
      </x:c>
      <x:c r="F4" s="73" t="n">
        <x:v>-1.0046722059656752</x:v>
      </x:c>
      <x:c r="G4" s="60" t="n">
        <x:v>4.10153130590686</x:v>
      </x:c>
      <x:c r="H4" s="73" t="n">
        <x:v>1.0046722059656752</x:v>
      </x:c>
      <x:c r="I4" s="55" t="str">
        <x:v>D:\energy_conservation\output\analysis\trip_real_vs_simu_physics\trip004\trip004_real_vs_simu_physical_energy_distance.png</x:v>
      </x:c>
    </x:row>
    <x:row r="5" ht="16.5" customHeight="1">
      <x:c r="A5" s="70" t="n">
        <x:v>5</x:v>
      </x:c>
      <x:c r="B5" s="54" t="str">
        <x:v>UP005_20240701_145202_R220</x:v>
      </x:c>
      <x:c r="C5" s="60" t="n">
        <x:v>405.4065904797847</x:v>
      </x:c>
      <x:c r="D5" s="60" t="n">
        <x:v>403.98463144390865</x:v>
      </x:c>
      <x:c r="E5" s="60" t="n">
        <x:v>-1.421959035876057</x:v>
      </x:c>
      <x:c r="F5" s="73" t="n">
        <x:v>-0.3507488702127949</x:v>
      </x:c>
      <x:c r="G5" s="60" t="n">
        <x:v>1.421959035876057</x:v>
      </x:c>
      <x:c r="H5" s="73" t="n">
        <x:v>0.3507488702127949</x:v>
      </x:c>
      <x:c r="I5" s="55" t="str">
        <x:v>D:\energy_conservation\output\analysis\trip_real_vs_simu_physics\trip005\trip005_real_vs_simu_physical_energy_distance.png</x:v>
      </x:c>
    </x:row>
    <x:row r="6" ht="16.5" customHeight="1">
      <x:c r="A6" s="70" t="n">
        <x:v>6</x:v>
      </x:c>
      <x:c r="B6" s="54" t="str">
        <x:v>UP006_20240701_171011_R274</x:v>
      </x:c>
      <x:c r="C6" s="60" t="n">
        <x:v>446.28787538146526</x:v>
      </x:c>
      <x:c r="D6" s="60" t="n">
        <x:v>441.645916465371</x:v>
      </x:c>
      <x:c r="E6" s="60" t="n">
        <x:v>-4.641958916094268</x:v>
      </x:c>
      <x:c r="F6" s="73" t="n">
        <x:v>-1.0401266026164269</x:v>
      </x:c>
      <x:c r="G6" s="60" t="n">
        <x:v>4.641958916094268</x:v>
      </x:c>
      <x:c r="H6" s="73" t="n">
        <x:v>1.0401266026164269</x:v>
      </x:c>
      <x:c r="I6" s="55" t="str">
        <x:v>D:\energy_conservation\output\analysis\trip_real_vs_simu_physics\trip006\trip006_real_vs_simu_physical_energy_distance.png</x:v>
      </x:c>
    </x:row>
    <x:row r="7" ht="16.5" customHeight="1">
      <x:c r="A7" s="70" t="n">
        <x:v>8</x:v>
      </x:c>
      <x:c r="B7" s="54" t="str">
        <x:v>UP008_20240701_214424_R382</x:v>
      </x:c>
      <x:c r="C7" s="60" t="n">
        <x:v>407.96426541405555</x:v>
      </x:c>
      <x:c r="D7" s="60" t="n">
        <x:v>403.89085828099104</x:v>
      </x:c>
      <x:c r="E7" s="60" t="n">
        <x:v>-4.0734071330645065</x:v>
      </x:c>
      <x:c r="F7" s="73" t="n">
        <x:v>-0.998471552142019</x:v>
      </x:c>
      <x:c r="G7" s="60" t="n">
        <x:v>4.0734071330645065</x:v>
      </x:c>
      <x:c r="H7" s="73" t="n">
        <x:v>0.998471552142019</x:v>
      </x:c>
      <x:c r="I7" s="55" t="str">
        <x:v>D:\energy_conservation\output\analysis\trip_real_vs_simu_physics\trip008\trip008_real_vs_simu_physical_energy_distance.png</x:v>
      </x:c>
    </x:row>
    <x:row r="8" ht="16.5" customHeight="1">
      <x:c r="A8" s="70" t="n">
        <x:v>10</x:v>
      </x:c>
      <x:c r="B8" s="54" t="str">
        <x:v>UP010_20240702_094840_R494</x:v>
      </x:c>
      <x:c r="C8" s="60" t="n">
        <x:v>410.2173760568819</x:v>
      </x:c>
      <x:c r="D8" s="60" t="n">
        <x:v>405.6647839907598</x:v>
      </x:c>
      <x:c r="E8" s="60" t="n">
        <x:v>-4.552592066122088</x:v>
      </x:c>
      <x:c r="F8" s="73" t="n">
        <x:v>-1.109799908985526</x:v>
      </x:c>
      <x:c r="G8" s="60" t="n">
        <x:v>4.552592066122088</x:v>
      </x:c>
      <x:c r="H8" s="73" t="n">
        <x:v>1.109799908985526</x:v>
      </x:c>
      <x:c r="I8" s="55" t="str">
        <x:v>D:\energy_conservation\output\analysis\trip_real_vs_simu_physics\trip010\trip010_real_vs_simu_physical_energy_distance.png</x:v>
      </x:c>
    </x:row>
    <x:row r="9" ht="16.5" customHeight="1">
      <x:c r="A9" s="70" t="n">
        <x:v>12</x:v>
      </x:c>
      <x:c r="B9" s="54" t="str">
        <x:v>UP012_20240702_141702_R603</x:v>
      </x:c>
      <x:c r="C9" s="60" t="n">
        <x:v>408.89051522077085</x:v>
      </x:c>
      <x:c r="D9" s="60" t="n">
        <x:v>405.2443521557019</x:v>
      </x:c>
      <x:c r="E9" s="60" t="n">
        <x:v>-3.646163065068947</x:v>
      </x:c>
      <x:c r="F9" s="73" t="n">
        <x:v>-0.8917211158836215</x:v>
      </x:c>
      <x:c r="G9" s="60" t="n">
        <x:v>3.646163065068947</x:v>
      </x:c>
      <x:c r="H9" s="73" t="n">
        <x:v>0.8917211158836215</x:v>
      </x:c>
      <x:c r="I9" s="55" t="str">
        <x:v>D:\energy_conservation\output\analysis\trip_real_vs_simu_physics\trip012\trip012_real_vs_simu_physical_energy_distance.png</x:v>
      </x:c>
    </x:row>
    <x:row r="10" ht="16.5" customHeight="1">
      <x:c r="A10" s="70" t="n">
        <x:v>14</x:v>
      </x:c>
      <x:c r="B10" s="54" t="str">
        <x:v>UP014_20240702_184325_R710</x:v>
      </x:c>
      <x:c r="C10" s="60" t="n">
        <x:v>445.9762958176528</x:v>
      </x:c>
      <x:c r="D10" s="60" t="n">
        <x:v>441.50061949769383</x:v>
      </x:c>
      <x:c r="E10" s="60" t="n">
        <x:v>-4.47567631995895</x:v>
      </x:c>
      <x:c r="F10" s="73" t="n">
        <x:v>-1.0035682079813786</x:v>
      </x:c>
      <x:c r="G10" s="60" t="n">
        <x:v>4.47567631995895</x:v>
      </x:c>
      <x:c r="H10" s="73" t="n">
        <x:v>1.0035682079813786</x:v>
      </x:c>
      <x:c r="I10" s="55" t="str">
        <x:v>D:\energy_conservation\output\analysis\trip_real_vs_simu_physics\trip014\trip014_real_vs_simu_physical_energy_distance.png</x:v>
      </x:c>
    </x:row>
    <x:row r="11" ht="16.5" customHeight="1">
      <x:c r="A11" s="70" t="n">
        <x:v>15</x:v>
      </x:c>
      <x:c r="B11" s="54" t="str">
        <x:v>UP015_20240702_210016_R766</x:v>
      </x:c>
      <x:c r="C11" s="60" t="n">
        <x:v>403.2795096097222</x:v>
      </x:c>
      <x:c r="D11" s="60" t="n">
        <x:v>399.35551013110313</x:v>
      </x:c>
      <x:c r="E11" s="60" t="n">
        <x:v>-3.9239994786190664</x:v>
      </x:c>
      <x:c r="F11" s="73" t="n">
        <x:v>-0.9730222798615671</x:v>
      </x:c>
      <x:c r="G11" s="60" t="n">
        <x:v>3.9239994786190664</x:v>
      </x:c>
      <x:c r="H11" s="73" t="n">
        <x:v>0.9730222798615671</x:v>
      </x:c>
      <x:c r="I11" s="55" t="str">
        <x:v>D:\energy_conservation\output\analysis\trip_real_vs_simu_physics\trip015\trip015_real_vs_simu_physical_energy_distance.png</x:v>
      </x:c>
    </x:row>
    <x:row r="12" ht="16.5" customHeight="1">
      <x:c r="A12" s="70" t="n">
        <x:v>42</x:v>
      </x:c>
      <x:c r="B12" s="54" t="str">
        <x:v>UP042_20240708_073251_R2252</x:v>
      </x:c>
      <x:c r="C12" s="60" t="n">
        <x:v>454.40523003824995</x:v>
      </x:c>
      <x:c r="D12" s="60" t="n">
        <x:v>467.6757926174143</x:v>
      </x:c>
      <x:c r="E12" s="60" t="n">
        <x:v>13.270562579164334</x:v>
      </x:c>
      <x:c r="F12" s="73" t="n">
        <x:v>2.9204247006680077</x:v>
      </x:c>
      <x:c r="G12" s="60" t="n">
        <x:v>13.270562579164334</x:v>
      </x:c>
      <x:c r="H12" s="73" t="n">
        <x:v>2.9204247006680077</x:v>
      </x:c>
      <x:c r="I12" s="55" t="str">
        <x:v>D:\energy_conservation\output\analysis\trip_real_vs_simu_physics\trip042\trip042_real_vs_simu_physical_energy_distance.png</x:v>
      </x:c>
    </x:row>
    <x:row r="13" ht="16.5" customHeight="1">
      <x:c r="A13" s="70" t="n">
        <x:v>62</x:v>
      </x:c>
      <x:c r="B13" s="54" t="str">
        <x:v>UP062_20240715_081635_R3332</x:v>
      </x:c>
      <x:c r="C13" s="60" t="n">
        <x:v>450.45656254192363</x:v>
      </x:c>
      <x:c r="D13" s="60" t="n">
        <x:v>446.9976290563031</x:v>
      </x:c>
      <x:c r="E13" s="60" t="n">
        <x:v>-3.4589334856205483</x:v>
      </x:c>
      <x:c r="F13" s="73" t="n">
        <x:v>-0.7678728146620415</x:v>
      </x:c>
      <x:c r="G13" s="60" t="n">
        <x:v>3.4589334856205483</x:v>
      </x:c>
      <x:c r="H13" s="73" t="n">
        <x:v>0.7678728146620415</x:v>
      </x:c>
      <x:c r="I13" s="55" t="str">
        <x:v>D:\energy_conservation\output\analysis\trip_real_vs_simu_physics\trip062\trip062_real_vs_simu_physical_energy_distance.png</x:v>
      </x:c>
    </x:row>
    <x:row r="14" ht="16.5" customHeight="1">
      <x:c r="A14" s="71" t="n">
        <x:v>67</x:v>
      </x:c>
      <x:c r="B14" s="57" t="str">
        <x:v>UP067_20240716_074738_R3654</x:v>
      </x:c>
      <x:c r="C14" s="61" t="n">
        <x:v>450.9440844277708</x:v>
      </x:c>
      <x:c r="D14" s="61" t="n">
        <x:v>446.55913121936726</x:v>
      </x:c>
      <x:c r="E14" s="61" t="n">
        <x:v>-4.3849532084035445</x:v>
      </x:c>
      <x:c r="F14" s="74" t="n">
        <x:v>-0.9723939973550971</x:v>
      </x:c>
      <x:c r="G14" s="61" t="n">
        <x:v>4.3849532084035445</x:v>
      </x:c>
      <x:c r="H14" s="74" t="n">
        <x:v>0.9723939973550971</x:v>
      </x:c>
      <x:c r="I14" s="58" t="str">
        <x:v>D:\energy_conservation\output\analysis\trip_real_vs_simu_physics\trip067\trip067_real_vs_simu_physical_energy_distance.png</x:v>
      </x:c>
    </x:row>
  </x:sheetData>
  <x:conditionalFormatting sqref="F2:F14">
    <x:cfRule type="colorScale" priority="1">
      <x:colorScale>
        <x:cfvo type="min"/>
        <x:cfvo type="num" val="0"/>
        <x:cfvo type="max"/>
        <x:color rgb="FFC94C4C"/>
        <x:color rgb="FFFFF7E6"/>
        <x:color rgb="FF2E8B7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56450df99f041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8.75" hidden="0" customWidth="1"/>
    <x:col min="3" max="3" width="11.25" hidden="0" customWidth="1"/>
  </x:cols>
  <x:sheetData>
    <x:row r="1" ht="17.25" customHeight="1">
      <x:c r="A1" s="84" t="str">
        <x:v>﻿统计指标</x:v>
      </x:c>
      <x:c r="B1" s="85" t="str">
        <x:v>数值</x:v>
      </x:c>
      <x:c r="C1" s="86" t="str">
        <x:v>单位</x:v>
      </x:c>
    </x:row>
    <x:row r="2" ht="17.25" customHeight="1">
      <x:c r="A2" s="50" t="str">
        <x:v>趟次数</x:v>
      </x:c>
      <x:c r="B2" s="59" t="n">
        <x:v>13</x:v>
      </x:c>
      <x:c r="C2" s="52" t="str">
        <x:v>趟</x:v>
      </x:c>
    </x:row>
    <x:row r="3" ht="17.25" customHeight="1">
      <x:c r="A3" s="53" t="str">
        <x:v>平均偏差</x:v>
      </x:c>
      <x:c r="B3" s="60" t="n">
        <x:v>-2.802208327470422</x:v>
      </x:c>
      <x:c r="C3" s="55" t="str">
        <x:v>kWh</x:v>
      </x:c>
    </x:row>
    <x:row r="4" ht="17.25" customHeight="1">
      <x:c r="A4" s="53" t="str">
        <x:v>平均相对偏差</x:v>
      </x:c>
      <x:c r="B4" s="60" t="n">
        <x:v>-0.6774312629969864</x:v>
      </x:c>
      <x:c r="C4" s="55" t="str">
        <x:v>%</x:v>
      </x:c>
    </x:row>
    <x:row r="5" ht="17.25" customHeight="1">
      <x:c r="A5" s="53" t="str">
        <x:v>平均绝对误差 MAE</x:v>
      </x:c>
      <x:c r="B5" s="60" t="n">
        <x:v>4.84383333964955</x:v>
      </x:c>
      <x:c r="C5" s="55" t="str">
        <x:v>kWh</x:v>
      </x:c>
    </x:row>
    <x:row r="6" ht="17.25" customHeight="1">
      <x:c r="A6" s="53" t="str">
        <x:v>平均绝对百分比误差 MAPE</x:v>
      </x:c>
      <x:c r="B6" s="60" t="n">
        <x:v>1.1267273707920646</x:v>
      </x:c>
      <x:c r="C6" s="55" t="str">
        <x:v>%</x:v>
      </x:c>
    </x:row>
    <x:row r="7" ht="17.25" customHeight="1">
      <x:c r="A7" s="53" t="str">
        <x:v>均方根误差 RMSE</x:v>
      </x:c>
      <x:c r="B7" s="60" t="n">
        <x:v>5.6514035718580145</x:v>
      </x:c>
      <x:c r="C7" s="55" t="str">
        <x:v>kWh</x:v>
      </x:c>
    </x:row>
    <x:row r="8" ht="17.25" customHeight="1">
      <x:c r="A8" s="53" t="str">
        <x:v>13趟历史真实能耗合计</x:v>
      </x:c>
      <x:c r="B8" s="60" t="n">
        <x:v>5525.642365351451</x:v>
      </x:c>
      <x:c r="C8" s="55" t="str">
        <x:v>kWh</x:v>
      </x:c>
    </x:row>
    <x:row r="9" ht="17.25" customHeight="1">
      <x:c r="A9" s="53" t="str">
        <x:v>13趟Simu机械能合计</x:v>
      </x:c>
      <x:c r="B9" s="60" t="n">
        <x:v>5489.213657094335</x:v>
      </x:c>
      <x:c r="C9" s="55" t="str">
        <x:v>kWh</x:v>
      </x:c>
    </x:row>
    <x:row r="10" ht="17.25" customHeight="1">
      <x:c r="A10" s="56" t="str">
        <x:v>总体差异率</x:v>
      </x:c>
      <x:c r="B10" s="61" t="n">
        <x:v>-0.6592664861110559</x:v>
      </x:c>
      <x:c r="C10" s="58" t="str">
        <x:v>%</x:v>
      </x:c>
    </x:row>
  </x:sheetData>
  <x:pageMargins left="0.7" right="0.7" top="0.75" bottom="0.75" header="0.3" footer="0.3"/>
  <x:tableParts count="1">
    <x:tablePart xmlns:r="http://schemas.openxmlformats.org/officeDocument/2006/relationships" r:id="Rdcc5e35e444844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9.3799991607666" hidden="0" customWidth="1"/>
    <x:col min="3" max="3" width="6.5" hidden="0" customWidth="1"/>
    <x:col min="4" max="4" width="18.1299991607666" hidden="0" customWidth="1"/>
    <x:col min="5" max="5" width="10.630000114440918" hidden="0" customWidth="1"/>
    <x:col min="6" max="6" width="10.630000114440918" hidden="0" customWidth="1"/>
    <x:col min="7" max="7" width="18.1299991607666" hidden="0" customWidth="1"/>
    <x:col min="8" max="8" width="18.1299991607666" hidden="0" customWidth="1"/>
    <x:col min="9" max="9" width="18.75" hidden="0" customWidth="1"/>
    <x:col min="10" max="10" width="18.75" hidden="0" customWidth="1"/>
    <x:col min="11" max="11" width="8.75" hidden="0" customWidth="1"/>
    <x:col min="12" max="12" width="15.25" hidden="0" customWidth="1"/>
    <x:col min="13" max="13" width="15.25" hidden="0" customWidth="1"/>
    <x:col min="14" max="14" width="15.25" hidden="0" customWidth="1"/>
    <x:col min="15" max="15" width="15.25" hidden="0" customWidth="1"/>
    <x:col min="16" max="16" width="15.25" hidden="0" customWidth="1"/>
    <x:col min="17" max="17" width="15.25" hidden="0" customWidth="1"/>
    <x:col min="18" max="18" width="15.25" hidden="0" customWidth="1"/>
  </x:cols>
  <x:sheetData>
    <x:row r="1" ht="15.75" customHeight="1">
      <x:c r="A1" s="38" t="str">
        <x:v>﻿趟次</x:v>
      </x:c>
      <x:c r="B1" s="39" t="str">
        <x:v>全局趟次ID</x:v>
      </x:c>
      <x:c r="C1" s="39" t="str">
        <x:v>序号</x:v>
      </x:c>
      <x:c r="D1" s="39" t="str">
        <x:v>区间</x:v>
      </x:c>
      <x:c r="E1" s="39" t="str">
        <x:v>segment</x:v>
      </x:c>
      <x:c r="F1" s="39" t="str">
        <x:v>来源run_id</x:v>
      </x:c>
      <x:c r="G1" s="39" t="str">
        <x:v>绝对开始时间</x:v>
      </x:c>
      <x:c r="H1" s="39" t="str">
        <x:v>绝对结束时间</x:v>
      </x:c>
      <x:c r="I1" s="39" t="str">
        <x:v>趟次选择方式</x:v>
      </x:c>
      <x:c r="J1" s="39" t="str">
        <x:v>数据读取来源</x:v>
      </x:c>
      <x:c r="K1" s="39" t="str">
        <x:v>样本数</x:v>
      </x:c>
      <x:c r="L1" s="39" t="str">
        <x:v>运行时间(s)</x:v>
      </x:c>
      <x:c r="M1" s="39" t="str">
        <x:v>区间里程(km)</x:v>
      </x:c>
      <x:c r="N1" s="39" t="str">
        <x:v>重量(t)</x:v>
      </x:c>
      <x:c r="O1" s="39" t="str">
        <x:v>历史真实能耗(kWh)</x:v>
      </x:c>
      <x:c r="P1" s="39" t="str">
        <x:v>Simu物理机械能耗(kWh)</x:v>
      </x:c>
      <x:c r="Q1" s="39" t="str">
        <x:v>Simu-真实(kWh)</x:v>
      </x:c>
      <x:c r="R1" s="40" t="str">
        <x:v>相对差异(%)</x:v>
      </x:c>
    </x:row>
    <x:row r="2" ht="15.75" customHeight="1">
      <x:c r="A2" s="69" t="n">
        <x:v>1</x:v>
      </x:c>
      <x:c r="B2" s="51" t="str">
        <x:v>UP001_20240701_055954_R1</x:v>
      </x:c>
      <x:c r="C2" s="87" t="n">
        <x:v>1</x:v>
      </x:c>
      <x:c r="D2" s="51" t="str">
        <x:v>布政-张家潭</x:v>
      </x:c>
      <x:c r="E2" s="87" t="n">
        <x:v>0</x:v>
      </x:c>
      <x:c r="F2" s="87" t="n">
        <x:v>1</x:v>
      </x:c>
      <x:c r="G2" s="51" t="str">
        <x:v>2024-07-01 05:59:54</x:v>
      </x:c>
      <x:c r="H2" s="51" t="str">
        <x:v>2024-07-01 06:01:51</x:v>
      </x:c>
      <x:c r="I2" s="51" t="str">
        <x:v>traceability-cache</x:v>
      </x:c>
      <x:c r="J2" s="51" t="str">
        <x:v>cache</x:v>
      </x:c>
      <x:c r="K2" s="87" t="n">
        <x:v>2351</x:v>
      </x:c>
      <x:c r="L2" s="59" t="n">
        <x:v>117.5</x:v>
      </x:c>
      <x:c r="M2" s="59" t="n">
        <x:v>1.427842083333335</x:v>
      </x:c>
      <x:c r="N2" s="59" t="n">
        <x:v>215.24</x:v>
      </x:c>
      <x:c r="O2" s="59" t="n">
        <x:v>13.559418453416669</x:v>
      </x:c>
      <x:c r="P2" s="59" t="n">
        <x:v>13.117202852471635</x:v>
      </x:c>
      <x:c r="Q2" s="59" t="n">
        <x:v>-0.44221560094503</x:v>
      </x:c>
      <x:c r="R2" s="62" t="n">
        <x:v>-3.26131686594274</x:v>
      </x:c>
    </x:row>
    <x:row r="3" ht="15.75" customHeight="1">
      <x:c r="A3" s="70" t="n">
        <x:v>1</x:v>
      </x:c>
      <x:c r="B3" s="54" t="str">
        <x:v>UP001_20240701_055954_R1</x:v>
      </x:c>
      <x:c r="C3" s="88" t="n">
        <x:v>2</x:v>
      </x:c>
      <x:c r="D3" s="54" t="str">
        <x:v>张家潭-同德路</x:v>
      </x:c>
      <x:c r="E3" s="88" t="n">
        <x:v>0</x:v>
      </x:c>
      <x:c r="F3" s="88" t="n">
        <x:v>2</x:v>
      </x:c>
      <x:c r="G3" s="54" t="str">
        <x:v>2024-07-01 06:02:21</x:v>
      </x:c>
      <x:c r="H3" s="54" t="str">
        <x:v>2024-07-01 06:04:51</x:v>
      </x:c>
      <x:c r="I3" s="54" t="str">
        <x:v>traceability-cache</x:v>
      </x:c>
      <x:c r="J3" s="54" t="str">
        <x:v>cache</x:v>
      </x:c>
      <x:c r="K3" s="88" t="n">
        <x:v>3018</x:v>
      </x:c>
      <x:c r="L3" s="60" t="n">
        <x:v>150.85</x:v>
      </x:c>
      <x:c r="M3" s="60" t="n">
        <x:v>2.019219861111107</x:v>
      </x:c>
      <x:c r="N3" s="60" t="n">
        <x:v>215.24</x:v>
      </x:c>
      <x:c r="O3" s="60" t="n">
        <x:v>18.515561260020835</x:v>
      </x:c>
      <x:c r="P3" s="60" t="n">
        <x:v>17.21943694625183</x:v>
      </x:c>
      <x:c r="Q3" s="60" t="n">
        <x:v>-1.2961243137690035</x:v>
      </x:c>
      <x:c r="R3" s="63" t="n">
        <x:v>-7.000189168273396</x:v>
      </x:c>
    </x:row>
    <x:row r="4" ht="15.75" customHeight="1">
      <x:c r="A4" s="70" t="n">
        <x:v>1</x:v>
      </x:c>
      <x:c r="B4" s="54" t="str">
        <x:v>UP001_20240701_055954_R1</x:v>
      </x:c>
      <x:c r="C4" s="88" t="n">
        <x:v>3</x:v>
      </x:c>
      <x:c r="D4" s="54" t="str">
        <x:v>同德路-石碶</x:v>
      </x:c>
      <x:c r="E4" s="88" t="n">
        <x:v>0</x:v>
      </x:c>
      <x:c r="F4" s="88" t="n">
        <x:v>3</x:v>
      </x:c>
      <x:c r="G4" s="54" t="str">
        <x:v>2024-07-01 06:05:21</x:v>
      </x:c>
      <x:c r="H4" s="54" t="str">
        <x:v>2024-07-01 06:07:12</x:v>
      </x:c>
      <x:c r="I4" s="54" t="str">
        <x:v>traceability-cache</x:v>
      </x:c>
      <x:c r="J4" s="54" t="str">
        <x:v>cache</x:v>
      </x:c>
      <x:c r="K4" s="88" t="n">
        <x:v>2220</x:v>
      </x:c>
      <x:c r="L4" s="60" t="n">
        <x:v>110.95</x:v>
      </x:c>
      <x:c r="M4" s="60" t="n">
        <x:v>1.3299802777777792</x:v>
      </x:c>
      <x:c r="N4" s="60" t="n">
        <x:v>215.44</x:v>
      </x:c>
      <x:c r="O4" s="60" t="n">
        <x:v>14.539569973034723</x:v>
      </x:c>
      <x:c r="P4" s="60" t="n">
        <x:v>13.813917948736751</x:v>
      </x:c>
      <x:c r="Q4" s="60" t="n">
        <x:v>-0.7256520242979696</x:v>
      </x:c>
      <x:c r="R4" s="63" t="n">
        <x:v>-4.99087679789549</x:v>
      </x:c>
    </x:row>
    <x:row r="5" ht="15.75" customHeight="1">
      <x:c r="A5" s="70" t="n">
        <x:v>1</x:v>
      </x:c>
      <x:c r="B5" s="54" t="str">
        <x:v>UP001_20240701_055954_R1</x:v>
      </x:c>
      <x:c r="C5" s="88" t="n">
        <x:v>4</x:v>
      </x:c>
      <x:c r="D5" s="54" t="str">
        <x:v>石碶-雅渡</x:v>
      </x:c>
      <x:c r="E5" s="88" t="n">
        <x:v>0</x:v>
      </x:c>
      <x:c r="F5" s="88" t="n">
        <x:v>4</x:v>
      </x:c>
      <x:c r="G5" s="54" t="str">
        <x:v>2024-07-01 06:07:41</x:v>
      </x:c>
      <x:c r="H5" s="54" t="str">
        <x:v>2024-07-01 06:09:00</x:v>
      </x:c>
      <x:c r="I5" s="54" t="str">
        <x:v>traceability-cache</x:v>
      </x:c>
      <x:c r="J5" s="54" t="str">
        <x:v>cache</x:v>
      </x:c>
      <x:c r="K5" s="88" t="n">
        <x:v>1576</x:v>
      </x:c>
      <x:c r="L5" s="60" t="n">
        <x:v>78.75</x:v>
      </x:c>
      <x:c r="M5" s="60" t="n">
        <x:v>0.8280034722222219</x:v>
      </x:c>
      <x:c r="N5" s="60" t="n">
        <x:v>215.74</x:v>
      </x:c>
      <x:c r="O5" s="60" t="n">
        <x:v>12.360408796722224</x:v>
      </x:c>
      <x:c r="P5" s="60" t="n">
        <x:v>12.660691324230529</x:v>
      </x:c>
      <x:c r="Q5" s="60" t="n">
        <x:v>0.3002825275083051</x:v>
      </x:c>
      <x:c r="R5" s="63" t="n">
        <x:v>2.429389937231971</x:v>
      </x:c>
    </x:row>
    <x:row r="6" ht="15.75" customHeight="1">
      <x:c r="A6" s="70" t="n">
        <x:v>1</x:v>
      </x:c>
      <x:c r="B6" s="54" t="str">
        <x:v>UP001_20240701_055954_R1</x:v>
      </x:c>
      <x:c r="C6" s="88" t="n">
        <x:v>5</x:v>
      </x:c>
      <x:c r="D6" s="54" t="str">
        <x:v>雅渡-庙堰</x:v>
      </x:c>
      <x:c r="E6" s="88" t="n">
        <x:v>0</x:v>
      </x:c>
      <x:c r="F6" s="88" t="n">
        <x:v>5</x:v>
      </x:c>
      <x:c r="G6" s="54" t="str">
        <x:v>2024-07-01 06:09:30</x:v>
      </x:c>
      <x:c r="H6" s="54" t="str">
        <x:v>2024-07-01 06:11:44</x:v>
      </x:c>
      <x:c r="I6" s="54" t="str">
        <x:v>traceability-cache</x:v>
      </x:c>
      <x:c r="J6" s="54" t="str">
        <x:v>cache</x:v>
      </x:c>
      <x:c r="K6" s="88" t="n">
        <x:v>2679</x:v>
      </x:c>
      <x:c r="L6" s="60" t="n">
        <x:v>133.9</x:v>
      </x:c>
      <x:c r="M6" s="60" t="n">
        <x:v>1.8590936111111072</x:v>
      </x:c>
      <x:c r="N6" s="60" t="n">
        <x:v>215.84</x:v>
      </x:c>
      <x:c r="O6" s="60" t="n">
        <x:v>20.522664962388887</x:v>
      </x:c>
      <x:c r="P6" s="60" t="n">
        <x:v>19.71607903004467</x:v>
      </x:c>
      <x:c r="Q6" s="60" t="n">
        <x:v>-0.8065859323442164</x:v>
      </x:c>
      <x:c r="R6" s="63" t="n">
        <x:v>-3.9302202409989926</x:v>
      </x:c>
    </x:row>
    <x:row r="7" ht="15.75" customHeight="1">
      <x:c r="A7" s="70" t="n">
        <x:v>1</x:v>
      </x:c>
      <x:c r="B7" s="54" t="str">
        <x:v>UP001_20240701_055954_R1</x:v>
      </x:c>
      <x:c r="C7" s="88" t="n">
        <x:v>6</x:v>
      </x:c>
      <x:c r="D7" s="54" t="str">
        <x:v>庙堰-钟公庙</x:v>
      </x:c>
      <x:c r="E7" s="88" t="n">
        <x:v>0</x:v>
      </x:c>
      <x:c r="F7" s="88" t="n">
        <x:v>6</x:v>
      </x:c>
      <x:c r="G7" s="54" t="str">
        <x:v>2024-07-01 06:12:13</x:v>
      </x:c>
      <x:c r="H7" s="54" t="str">
        <x:v>2024-07-01 06:13:50</x:v>
      </x:c>
      <x:c r="I7" s="54" t="str">
        <x:v>traceability-cache</x:v>
      </x:c>
      <x:c r="J7" s="54" t="str">
        <x:v>cache</x:v>
      </x:c>
      <x:c r="K7" s="88" t="n">
        <x:v>1930</x:v>
      </x:c>
      <x:c r="L7" s="60" t="n">
        <x:v>96.45</x:v>
      </x:c>
      <x:c r="M7" s="60" t="n">
        <x:v>1.086692083333334</x:v>
      </x:c>
      <x:c r="N7" s="60" t="n">
        <x:v>216.34</x:v>
      </x:c>
      <x:c r="O7" s="60" t="n">
        <x:v>12.989318931506943</x:v>
      </x:c>
      <x:c r="P7" s="60" t="n">
        <x:v>12.80457353724942</x:v>
      </x:c>
      <x:c r="Q7" s="60" t="n">
        <x:v>-0.184745394257523</x:v>
      </x:c>
      <x:c r="R7" s="63" t="n">
        <x:v>-1.42228699773784</x:v>
      </x:c>
    </x:row>
    <x:row r="8" ht="15.75" customHeight="1">
      <x:c r="A8" s="70" t="n">
        <x:v>1</x:v>
      </x:c>
      <x:c r="B8" s="54" t="str">
        <x:v>UP001_20240701_055954_R1</x:v>
      </x:c>
      <x:c r="C8" s="88" t="n">
        <x:v>7</x:v>
      </x:c>
      <x:c r="D8" s="54" t="str">
        <x:v>钟公庙-鄞州区政府</x:v>
      </x:c>
      <x:c r="E8" s="88" t="n">
        <x:v>0</x:v>
      </x:c>
      <x:c r="F8" s="88" t="n">
        <x:v>7</x:v>
      </x:c>
      <x:c r="G8" s="54" t="str">
        <x:v>2024-07-01 06:14:20</x:v>
      </x:c>
      <x:c r="H8" s="54" t="str">
        <x:v>2024-07-01 06:15:51</x:v>
      </x:c>
      <x:c r="I8" s="54" t="str">
        <x:v>traceability-cache</x:v>
      </x:c>
      <x:c r="J8" s="54" t="str">
        <x:v>cache</x:v>
      </x:c>
      <x:c r="K8" s="88" t="n">
        <x:v>1815</x:v>
      </x:c>
      <x:c r="L8" s="60" t="n">
        <x:v>90.7</x:v>
      </x:c>
      <x:c r="M8" s="60" t="n">
        <x:v>0.9850970833333306</x:v>
      </x:c>
      <x:c r="N8" s="60" t="n">
        <x:v>217.1</x:v>
      </x:c>
      <x:c r="O8" s="60" t="n">
        <x:v>10.303695779625</x:v>
      </x:c>
      <x:c r="P8" s="60" t="n">
        <x:v>10.921164099063216</x:v>
      </x:c>
      <x:c r="Q8" s="60" t="n">
        <x:v>0.617468319438216</x:v>
      </x:c>
      <x:c r="R8" s="63" t="n">
        <x:v>5.9926877951814745</x:v>
      </x:c>
    </x:row>
    <x:row r="9" ht="15.75" customHeight="1">
      <x:c r="A9" s="70" t="n">
        <x:v>1</x:v>
      </x:c>
      <x:c r="B9" s="54" t="str">
        <x:v>UP001_20240701_055954_R1</x:v>
      </x:c>
      <x:c r="C9" s="88" t="n">
        <x:v>8</x:v>
      </x:c>
      <x:c r="D9" s="54" t="str">
        <x:v>鄞州区政府-钱湖南路</x:v>
      </x:c>
      <x:c r="E9" s="88" t="n">
        <x:v>0</x:v>
      </x:c>
      <x:c r="F9" s="88" t="n">
        <x:v>8</x:v>
      </x:c>
      <x:c r="G9" s="54" t="str">
        <x:v>2024-07-01 06:16:30</x:v>
      </x:c>
      <x:c r="H9" s="54" t="str">
        <x:v>2024-07-01 06:18:38</x:v>
      </x:c>
      <x:c r="I9" s="54" t="str">
        <x:v>traceability-cache</x:v>
      </x:c>
      <x:c r="J9" s="54" t="str">
        <x:v>cache</x:v>
      </x:c>
      <x:c r="K9" s="88" t="n">
        <x:v>2546</x:v>
      </x:c>
      <x:c r="L9" s="60" t="n">
        <x:v>127.25</x:v>
      </x:c>
      <x:c r="M9" s="60" t="n">
        <x:v>1.811117083333338</x:v>
      </x:c>
      <x:c r="N9" s="60" t="n">
        <x:v>217</x:v>
      </x:c>
      <x:c r="O9" s="60" t="n">
        <x:v>19.266809438784723</x:v>
      </x:c>
      <x:c r="P9" s="60" t="n">
        <x:v>17.69675056118064</x:v>
      </x:c>
      <x:c r="Q9" s="60" t="n">
        <x:v>-1.5700588776040822</x:v>
      </x:c>
      <x:c r="R9" s="63" t="n">
        <x:v>-8.14903413350579</x:v>
      </x:c>
    </x:row>
    <x:row r="10" ht="15.75" customHeight="1">
      <x:c r="A10" s="70" t="n">
        <x:v>1</x:v>
      </x:c>
      <x:c r="B10" s="54" t="str">
        <x:v>UP001_20240701_055954_R1</x:v>
      </x:c>
      <x:c r="C10" s="88" t="n">
        <x:v>9</x:v>
      </x:c>
      <x:c r="D10" s="54" t="str">
        <x:v>钱湖南路-南高教园区</x:v>
      </x:c>
      <x:c r="E10" s="88" t="n">
        <x:v>0</x:v>
      </x:c>
      <x:c r="F10" s="88" t="n">
        <x:v>9</x:v>
      </x:c>
      <x:c r="G10" s="54" t="str">
        <x:v>2024-07-01 06:19:07</x:v>
      </x:c>
      <x:c r="H10" s="54" t="str">
        <x:v>2024-07-01 06:20:44</x:v>
      </x:c>
      <x:c r="I10" s="54" t="str">
        <x:v>traceability-cache</x:v>
      </x:c>
      <x:c r="J10" s="54" t="str">
        <x:v>cache</x:v>
      </x:c>
      <x:c r="K10" s="88" t="n">
        <x:v>1947</x:v>
      </x:c>
      <x:c r="L10" s="60" t="n">
        <x:v>97.3</x:v>
      </x:c>
      <x:c r="M10" s="60" t="n">
        <x:v>1.168235694444446</x:v>
      </x:c>
      <x:c r="N10" s="60" t="n">
        <x:v>217.11</x:v>
      </x:c>
      <x:c r="O10" s="60" t="n">
        <x:v>15.347011397145836</x:v>
      </x:c>
      <x:c r="P10" s="60" t="n">
        <x:v>15.395309856892371</x:v>
      </x:c>
      <x:c r="Q10" s="60" t="n">
        <x:v>0.0482984597465383</x:v>
      </x:c>
      <x:c r="R10" s="63" t="n">
        <x:v>0.3147092192524251</x:v>
      </x:c>
    </x:row>
    <x:row r="11" ht="15.75" customHeight="1">
      <x:c r="A11" s="70" t="n">
        <x:v>1</x:v>
      </x:c>
      <x:c r="B11" s="54" t="str">
        <x:v>UP001_20240701_055954_R1</x:v>
      </x:c>
      <x:c r="C11" s="88" t="n">
        <x:v>10</x:v>
      </x:c>
      <x:c r="D11" s="54" t="str">
        <x:v>南高教园区-下应路</x:v>
      </x:c>
      <x:c r="E11" s="88" t="n">
        <x:v>0</x:v>
      </x:c>
      <x:c r="F11" s="88" t="n">
        <x:v>10</x:v>
      </x:c>
      <x:c r="G11" s="54" t="str">
        <x:v>2024-07-01 06:21:18</x:v>
      </x:c>
      <x:c r="H11" s="54" t="str">
        <x:v>2024-07-01 06:23:09</x:v>
      </x:c>
      <x:c r="I11" s="54" t="str">
        <x:v>traceability-cache</x:v>
      </x:c>
      <x:c r="J11" s="54" t="str">
        <x:v>cache</x:v>
      </x:c>
      <x:c r="K11" s="88" t="n">
        <x:v>2217</x:v>
      </x:c>
      <x:c r="L11" s="60" t="n">
        <x:v>110.8</x:v>
      </x:c>
      <x:c r="M11" s="60" t="n">
        <x:v>1.452572777777779</x:v>
      </x:c>
      <x:c r="N11" s="60" t="n">
        <x:v>217.9</x:v>
      </x:c>
      <x:c r="O11" s="60" t="n">
        <x:v>21.65634656031945</x:v>
      </x:c>
      <x:c r="P11" s="60" t="n">
        <x:v>20.07034931945618</x:v>
      </x:c>
      <x:c r="Q11" s="60" t="n">
        <x:v>-1.5859972408632674</x:v>
      </x:c>
      <x:c r="R11" s="63" t="n">
        <x:v>-7.323475529197815</x:v>
      </x:c>
    </x:row>
    <x:row r="12" ht="15.75" customHeight="1">
      <x:c r="A12" s="70" t="n">
        <x:v>1</x:v>
      </x:c>
      <x:c r="B12" s="54" t="str">
        <x:v>UP001_20240701_055954_R1</x:v>
      </x:c>
      <x:c r="C12" s="88" t="n">
        <x:v>11</x:v>
      </x:c>
      <x:c r="D12" s="54" t="str">
        <x:v>下应路-大洋江</x:v>
      </x:c>
      <x:c r="E12" s="88" t="n">
        <x:v>0</x:v>
      </x:c>
      <x:c r="F12" s="88" t="n">
        <x:v>11</x:v>
      </x:c>
      <x:c r="G12" s="54" t="str">
        <x:v>2024-07-01 06:23:38</x:v>
      </x:c>
      <x:c r="H12" s="54" t="str">
        <x:v>2024-07-01 06:25:24</x:v>
      </x:c>
      <x:c r="I12" s="54" t="str">
        <x:v>traceability-cache</x:v>
      </x:c>
      <x:c r="J12" s="54" t="str">
        <x:v>cache</x:v>
      </x:c>
      <x:c r="K12" s="88" t="n">
        <x:v>2112</x:v>
      </x:c>
      <x:c r="L12" s="60" t="n">
        <x:v>105.55</x:v>
      </x:c>
      <x:c r="M12" s="60" t="n">
        <x:v>1.213399305555555</x:v>
      </x:c>
      <x:c r="N12" s="60" t="n">
        <x:v>218.5</x:v>
      </x:c>
      <x:c r="O12" s="60" t="n">
        <x:v>12.896942314125</x:v>
      </x:c>
      <x:c r="P12" s="60" t="n">
        <x:v>12.483024513429926</x:v>
      </x:c>
      <x:c r="Q12" s="60" t="n">
        <x:v>-0.4139178006950751</x:v>
      </x:c>
      <x:c r="R12" s="63" t="n">
        <x:v>-3.209425851596961</x:v>
      </x:c>
    </x:row>
    <x:row r="13" ht="15.75" customHeight="1">
      <x:c r="A13" s="70" t="n">
        <x:v>1</x:v>
      </x:c>
      <x:c r="B13" s="54" t="str">
        <x:v>UP001_20240701_055954_R1</x:v>
      </x:c>
      <x:c r="C13" s="88" t="n">
        <x:v>12</x:v>
      </x:c>
      <x:c r="D13" s="54" t="str">
        <x:v>大洋江-泗港</x:v>
      </x:c>
      <x:c r="E13" s="88" t="n">
        <x:v>0</x:v>
      </x:c>
      <x:c r="F13" s="88" t="n">
        <x:v>12</x:v>
      </x:c>
      <x:c r="G13" s="54" t="str">
        <x:v>2024-07-01 06:25:53</x:v>
      </x:c>
      <x:c r="H13" s="54" t="str">
        <x:v>2024-07-01 06:27:25</x:v>
      </x:c>
      <x:c r="I13" s="54" t="str">
        <x:v>traceability-cache</x:v>
      </x:c>
      <x:c r="J13" s="54" t="str">
        <x:v>cache</x:v>
      </x:c>
      <x:c r="K13" s="88" t="n">
        <x:v>1829</x:v>
      </x:c>
      <x:c r="L13" s="60" t="n">
        <x:v>91.4</x:v>
      </x:c>
      <x:c r="M13" s="60" t="n">
        <x:v>0.9584773611111128</x:v>
      </x:c>
      <x:c r="N13" s="60" t="n">
        <x:v>219.2</x:v>
      </x:c>
      <x:c r="O13" s="60" t="n">
        <x:v>12.05326801757639</x:v>
      </x:c>
      <x:c r="P13" s="60" t="n">
        <x:v>12.075364803138324</x:v>
      </x:c>
      <x:c r="Q13" s="60" t="n">
        <x:v>0.0220967855619328</x:v>
      </x:c>
      <x:c r="R13" s="63" t="n">
        <x:v>0.1833260948790879</x:v>
      </x:c>
    </x:row>
    <x:row r="14" ht="15.75" customHeight="1">
      <x:c r="A14" s="70" t="n">
        <x:v>1</x:v>
      </x:c>
      <x:c r="B14" s="54" t="str">
        <x:v>UP001_20240701_055954_R1</x:v>
      </x:c>
      <x:c r="C14" s="88" t="n">
        <x:v>13</x:v>
      </x:c>
      <x:c r="D14" s="54" t="str">
        <x:v>泗港-曹隘</x:v>
      </x:c>
      <x:c r="E14" s="88" t="n">
        <x:v>0</x:v>
      </x:c>
      <x:c r="F14" s="88" t="n">
        <x:v>13</x:v>
      </x:c>
      <x:c r="G14" s="54" t="str">
        <x:v>2024-07-01 06:27:54</x:v>
      </x:c>
      <x:c r="H14" s="54" t="str">
        <x:v>2024-07-01 06:30:09</x:v>
      </x:c>
      <x:c r="I14" s="54" t="str">
        <x:v>traceability-cache</x:v>
      </x:c>
      <x:c r="J14" s="54" t="str">
        <x:v>cache</x:v>
      </x:c>
      <x:c r="K14" s="88" t="n">
        <x:v>2697</x:v>
      </x:c>
      <x:c r="L14" s="60" t="n">
        <x:v>134.8</x:v>
      </x:c>
      <x:c r="M14" s="60" t="n">
        <x:v>1.7991254166666728</x:v>
      </x:c>
      <x:c r="N14" s="60" t="n">
        <x:v>219.1</x:v>
      </x:c>
      <x:c r="O14" s="60" t="n">
        <x:v>23.12968133454861</x:v>
      </x:c>
      <x:c r="P14" s="60" t="n">
        <x:v>23.291147126348275</x:v>
      </x:c>
      <x:c r="Q14" s="60" t="n">
        <x:v>0.1614657917996628</x:v>
      </x:c>
      <x:c r="R14" s="63" t="n">
        <x:v>0.6980891325920809</x:v>
      </x:c>
    </x:row>
    <x:row r="15" ht="15.75" customHeight="1">
      <x:c r="A15" s="70" t="n">
        <x:v>1</x:v>
      </x:c>
      <x:c r="B15" s="54" t="str">
        <x:v>UP001_20240701_055954_R1</x:v>
      </x:c>
      <x:c r="C15" s="88" t="n">
        <x:v>14</x:v>
      </x:c>
      <x:c r="D15" s="54" t="str">
        <x:v>曹隘-柳隘</x:v>
      </x:c>
      <x:c r="E15" s="88" t="n">
        <x:v>0</x:v>
      </x:c>
      <x:c r="F15" s="88" t="n">
        <x:v>14</x:v>
      </x:c>
      <x:c r="G15" s="54" t="str">
        <x:v>2024-07-01 06:30:40</x:v>
      </x:c>
      <x:c r="H15" s="54" t="str">
        <x:v>2024-07-01 06:32:26</x:v>
      </x:c>
      <x:c r="I15" s="54" t="str">
        <x:v>traceability-cache</x:v>
      </x:c>
      <x:c r="J15" s="54" t="str">
        <x:v>cache</x:v>
      </x:c>
      <x:c r="K15" s="88" t="n">
        <x:v>2121</x:v>
      </x:c>
      <x:c r="L15" s="60" t="n">
        <x:v>106</x:v>
      </x:c>
      <x:c r="M15" s="60" t="n">
        <x:v>1.306505972222225</x:v>
      </x:c>
      <x:c r="N15" s="60" t="n">
        <x:v>218.7</x:v>
      </x:c>
      <x:c r="O15" s="60" t="n">
        <x:v>21.35067559504861</x:v>
      </x:c>
      <x:c r="P15" s="60" t="n">
        <x:v>22.06212497665089</x:v>
      </x:c>
      <x:c r="Q15" s="60" t="n">
        <x:v>0.7114493816022769</x:v>
      </x:c>
      <x:c r="R15" s="63" t="n">
        <x:v>3.332210160915318</x:v>
      </x:c>
    </x:row>
    <x:row r="16" ht="15.75" customHeight="1">
      <x:c r="A16" s="70" t="n">
        <x:v>1</x:v>
      </x:c>
      <x:c r="B16" s="54" t="str">
        <x:v>UP001_20240701_055954_R1</x:v>
      </x:c>
      <x:c r="C16" s="88" t="n">
        <x:v>15</x:v>
      </x:c>
      <x:c r="D16" s="54" t="str">
        <x:v>柳隘-海晏北路</x:v>
      </x:c>
      <x:c r="E16" s="88" t="n">
        <x:v>0</x:v>
      </x:c>
      <x:c r="F16" s="88" t="n">
        <x:v>15</x:v>
      </x:c>
      <x:c r="G16" s="54" t="str">
        <x:v>2024-07-01 06:32:55</x:v>
      </x:c>
      <x:c r="H16" s="54" t="str">
        <x:v>2024-07-01 06:34:25</x:v>
      </x:c>
      <x:c r="I16" s="54" t="str">
        <x:v>traceability-cache</x:v>
      </x:c>
      <x:c r="J16" s="54" t="str">
        <x:v>cache</x:v>
      </x:c>
      <x:c r="K16" s="88" t="n">
        <x:v>1789</x:v>
      </x:c>
      <x:c r="L16" s="60" t="n">
        <x:v>89.4</x:v>
      </x:c>
      <x:c r="M16" s="60" t="n">
        <x:v>0.9807340277777788</x:v>
      </x:c>
      <x:c r="N16" s="60" t="n">
        <x:v>218.8</x:v>
      </x:c>
      <x:c r="O16" s="60" t="n">
        <x:v>14.467666244590276</x:v>
      </x:c>
      <x:c r="P16" s="60" t="n">
        <x:v>14.381406013658433</x:v>
      </x:c>
      <x:c r="Q16" s="60" t="n">
        <x:v>-0.0862602309318444</x:v>
      </x:c>
      <x:c r="R16" s="63" t="n">
        <x:v>-0.5962276809094815</x:v>
      </x:c>
    </x:row>
    <x:row r="17" ht="15.75" customHeight="1">
      <x:c r="A17" s="70" t="n">
        <x:v>1</x:v>
      </x:c>
      <x:c r="B17" s="54" t="str">
        <x:v>UP001_20240701_055954_R1</x:v>
      </x:c>
      <x:c r="C17" s="88" t="n">
        <x:v>16</x:v>
      </x:c>
      <x:c r="D17" s="54" t="str">
        <x:v>海晏北路-民安东路</x:v>
      </x:c>
      <x:c r="E17" s="88" t="n">
        <x:v>0</x:v>
      </x:c>
      <x:c r="F17" s="88" t="n">
        <x:v>16</x:v>
      </x:c>
      <x:c r="G17" s="54" t="str">
        <x:v>2024-07-01 06:35:09</x:v>
      </x:c>
      <x:c r="H17" s="54" t="str">
        <x:v>2024-07-01 06:36:33</x:v>
      </x:c>
      <x:c r="I17" s="54" t="str">
        <x:v>traceability-cache</x:v>
      </x:c>
      <x:c r="J17" s="54" t="str">
        <x:v>cache</x:v>
      </x:c>
      <x:c r="K17" s="88" t="n">
        <x:v>1679</x:v>
      </x:c>
      <x:c r="L17" s="60" t="n">
        <x:v>83.9</x:v>
      </x:c>
      <x:c r="M17" s="60" t="n">
        <x:v>0.8647784722222217</x:v>
      </x:c>
      <x:c r="N17" s="60" t="n">
        <x:v>216.8</x:v>
      </x:c>
      <x:c r="O17" s="60" t="n">
        <x:v>15.906411100104169</x:v>
      </x:c>
      <x:c r="P17" s="60" t="n">
        <x:v>16.138433794815548</x:v>
      </x:c>
      <x:c r="Q17" s="60" t="n">
        <x:v>0.2320226947113769</x:v>
      </x:c>
      <x:c r="R17" s="63" t="n">
        <x:v>1.4586740733103365</x:v>
      </x:c>
    </x:row>
    <x:row r="18" ht="15.75" customHeight="1">
      <x:c r="A18" s="70" t="n">
        <x:v>1</x:v>
      </x:c>
      <x:c r="B18" s="54" t="str">
        <x:v>UP001_20240701_055954_R1</x:v>
      </x:c>
      <x:c r="C18" s="88" t="n">
        <x:v>17</x:v>
      </x:c>
      <x:c r="D18" s="54" t="str">
        <x:v>民安东路-会展中心</x:v>
      </x:c>
      <x:c r="E18" s="88" t="n">
        <x:v>0</x:v>
      </x:c>
      <x:c r="F18" s="88" t="n">
        <x:v>17</x:v>
      </x:c>
      <x:c r="G18" s="54" t="str">
        <x:v>2024-07-01 06:37:02</x:v>
      </x:c>
      <x:c r="H18" s="54" t="str">
        <x:v>2024-07-01 06:38:19</x:v>
      </x:c>
      <x:c r="I18" s="54" t="str">
        <x:v>traceability-cache</x:v>
      </x:c>
      <x:c r="J18" s="54" t="str">
        <x:v>cache</x:v>
      </x:c>
      <x:c r="K18" s="88" t="n">
        <x:v>1533</x:v>
      </x:c>
      <x:c r="L18" s="60" t="n">
        <x:v>76.6</x:v>
      </x:c>
      <x:c r="M18" s="60" t="n">
        <x:v>0.7253866666666666</x:v>
      </x:c>
      <x:c r="N18" s="60" t="n">
        <x:v>216.14</x:v>
      </x:c>
      <x:c r="O18" s="60" t="n">
        <x:v>12.285908795500005</x:v>
      </x:c>
      <x:c r="P18" s="60" t="n">
        <x:v>12.694440229583504</x:v>
      </x:c>
      <x:c r="Q18" s="60" t="n">
        <x:v>0.4085314340835012</x:v>
      </x:c>
      <x:c r="R18" s="63" t="n">
        <x:v>3.325203213563942</x:v>
      </x:c>
    </x:row>
    <x:row r="19" ht="15.75" customHeight="1">
      <x:c r="A19" s="70" t="n">
        <x:v>1</x:v>
      </x:c>
      <x:c r="B19" s="54" t="str">
        <x:v>UP001_20240701_055954_R1</x:v>
      </x:c>
      <x:c r="C19" s="88" t="n">
        <x:v>18</x:v>
      </x:c>
      <x:c r="D19" s="54" t="str">
        <x:v>会展中心-院士路</x:v>
      </x:c>
      <x:c r="E19" s="88" t="n">
        <x:v>0</x:v>
      </x:c>
      <x:c r="F19" s="88" t="n">
        <x:v>18</x:v>
      </x:c>
      <x:c r="G19" s="54" t="str">
        <x:v>2024-07-01 06:38:49</x:v>
      </x:c>
      <x:c r="H19" s="54" t="str">
        <x:v>2024-07-01 06:40:44</x:v>
      </x:c>
      <x:c r="I19" s="54" t="str">
        <x:v>traceability-cache</x:v>
      </x:c>
      <x:c r="J19" s="54" t="str">
        <x:v>cache</x:v>
      </x:c>
      <x:c r="K19" s="88" t="n">
        <x:v>2299</x:v>
      </x:c>
      <x:c r="L19" s="60" t="n">
        <x:v>114.9</x:v>
      </x:c>
      <x:c r="M19" s="60" t="n">
        <x:v>1.55146583333333</x:v>
      </x:c>
      <x:c r="N19" s="60" t="n">
        <x:v>216.34</x:v>
      </x:c>
      <x:c r="O19" s="60" t="n">
        <x:v>14.89267998654861</x:v>
      </x:c>
      <x:c r="P19" s="60" t="n">
        <x:v>15.002044062222817</x:v>
      </x:c>
      <x:c r="Q19" s="60" t="n">
        <x:v>0.1093640756742042</x:v>
      </x:c>
      <x:c r="R19" s="63" t="n">
        <x:v>0.7343478525892202</x:v>
      </x:c>
    </x:row>
    <x:row r="20" ht="15.75" customHeight="1">
      <x:c r="A20" s="70" t="n">
        <x:v>1</x:v>
      </x:c>
      <x:c r="B20" s="54" t="str">
        <x:v>UP001_20240701_055954_R1</x:v>
      </x:c>
      <x:c r="C20" s="88" t="n">
        <x:v>19</x:v>
      </x:c>
      <x:c r="D20" s="54" t="str">
        <x:v>院士路-盎孟港</x:v>
      </x:c>
      <x:c r="E20" s="88" t="n">
        <x:v>0</x:v>
      </x:c>
      <x:c r="F20" s="88" t="n">
        <x:v>19</x:v>
      </x:c>
      <x:c r="G20" s="54" t="str">
        <x:v>2024-07-01 06:41:13</x:v>
      </x:c>
      <x:c r="H20" s="54" t="str">
        <x:v>2024-07-01 06:42:44</x:v>
      </x:c>
      <x:c r="I20" s="54" t="str">
        <x:v>traceability-cache</x:v>
      </x:c>
      <x:c r="J20" s="54" t="str">
        <x:v>cache</x:v>
      </x:c>
      <x:c r="K20" s="88" t="n">
        <x:v>1818</x:v>
      </x:c>
      <x:c r="L20" s="60" t="n">
        <x:v>90.85</x:v>
      </x:c>
      <x:c r="M20" s="60" t="n">
        <x:v>0.9948579166666662</x:v>
      </x:c>
      <x:c r="N20" s="60" t="n">
        <x:v>216.34</x:v>
      </x:c>
      <x:c r="O20" s="60" t="n">
        <x:v>19.915718209562502</x:v>
      </x:c>
      <x:c r="P20" s="60" t="n">
        <x:v>20.00757958480193</x:v>
      </x:c>
      <x:c r="Q20" s="60" t="n">
        <x:v>0.0918613752394267</x:v>
      </x:c>
      <x:c r="R20" s="63" t="n">
        <x:v>0.4612506276340041</x:v>
      </x:c>
    </x:row>
    <x:row r="21" ht="15.75" customHeight="1">
      <x:c r="A21" s="70" t="n">
        <x:v>1</x:v>
      </x:c>
      <x:c r="B21" s="54" t="str">
        <x:v>UP001_20240701_055954_R1</x:v>
      </x:c>
      <x:c r="C21" s="88" t="n">
        <x:v>20</x:v>
      </x:c>
      <x:c r="D21" s="54" t="str">
        <x:v>盎孟港-三官堂</x:v>
      </x:c>
      <x:c r="E21" s="88" t="n">
        <x:v>0</x:v>
      </x:c>
      <x:c r="F21" s="88" t="n">
        <x:v>20</x:v>
      </x:c>
      <x:c r="G21" s="54" t="str">
        <x:v>2024-07-01 06:43:14</x:v>
      </x:c>
      <x:c r="H21" s="54" t="str">
        <x:v>2024-07-01 06:45:25</x:v>
      </x:c>
      <x:c r="I21" s="54" t="str">
        <x:v>traceability-cache</x:v>
      </x:c>
      <x:c r="J21" s="54" t="str">
        <x:v>cache</x:v>
      </x:c>
      <x:c r="K21" s="88" t="n">
        <x:v>2614</x:v>
      </x:c>
      <x:c r="L21" s="60" t="n">
        <x:v>130.65</x:v>
      </x:c>
      <x:c r="M21" s="60" t="n">
        <x:v>1.878726388888889</x:v>
      </x:c>
      <x:c r="N21" s="60" t="n">
        <x:v>216.24</x:v>
      </x:c>
      <x:c r="O21" s="60" t="n">
        <x:v>19.44571478648611</x:v>
      </x:c>
      <x:c r="P21" s="60" t="n">
        <x:v>17.991825234431467</x:v>
      </x:c>
      <x:c r="Q21" s="60" t="n">
        <x:v>-1.453889552054643</x:v>
      </x:c>
      <x:c r="R21" s="63" t="n">
        <x:v>-7.4766578036258675</x:v>
      </x:c>
    </x:row>
    <x:row r="22" ht="15.75" customHeight="1">
      <x:c r="A22" s="70" t="n">
        <x:v>1</x:v>
      </x:c>
      <x:c r="B22" s="54" t="str">
        <x:v>UP001_20240701_055954_R1</x:v>
      </x:c>
      <x:c r="C22" s="88" t="n">
        <x:v>21</x:v>
      </x:c>
      <x:c r="D22" s="54" t="str">
        <x:v>三官堂-兴庄路</x:v>
      </x:c>
      <x:c r="E22" s="88" t="n">
        <x:v>0</x:v>
      </x:c>
      <x:c r="F22" s="88" t="n">
        <x:v>21</x:v>
      </x:c>
      <x:c r="G22" s="54" t="str">
        <x:v>2024-07-01 06:45:55</x:v>
      </x:c>
      <x:c r="H22" s="54" t="str">
        <x:v>2024-07-01 06:47:36</x:v>
      </x:c>
      <x:c r="I22" s="54" t="str">
        <x:v>traceability-cache</x:v>
      </x:c>
      <x:c r="J22" s="54" t="str">
        <x:v>cache</x:v>
      </x:c>
      <x:c r="K22" s="88" t="n">
        <x:v>2030</x:v>
      </x:c>
      <x:c r="L22" s="60" t="n">
        <x:v>101.45</x:v>
      </x:c>
      <x:c r="M22" s="60" t="n">
        <x:v>1.07980888888889</x:v>
      </x:c>
      <x:c r="N22" s="60" t="n">
        <x:v>215.94</x:v>
      </x:c>
      <x:c r="O22" s="60" t="n">
        <x:v>10.83936922661111</x:v>
      </x:c>
      <x:c r="P22" s="60" t="n">
        <x:v>10.88907453413419</x:v>
      </x:c>
      <x:c r="Q22" s="60" t="n">
        <x:v>0.0497053075230796</x:v>
      </x:c>
      <x:c r="R22" s="63" t="n">
        <x:v>0.4585627307634382</x:v>
      </x:c>
    </x:row>
    <x:row r="23" ht="15.75" customHeight="1">
      <x:c r="A23" s="70" t="n">
        <x:v>1</x:v>
      </x:c>
      <x:c r="B23" s="54" t="str">
        <x:v>UP001_20240701_055954_R1</x:v>
      </x:c>
      <x:c r="C23" s="88" t="n">
        <x:v>22</x:v>
      </x:c>
      <x:c r="D23" s="54" t="str">
        <x:v>兴庄路-兴海南路</x:v>
      </x:c>
      <x:c r="E23" s="88" t="n">
        <x:v>0</x:v>
      </x:c>
      <x:c r="F23" s="88" t="n">
        <x:v>22</x:v>
      </x:c>
      <x:c r="G23" s="54" t="str">
        <x:v>2024-07-01 06:48:07</x:v>
      </x:c>
      <x:c r="H23" s="54" t="str">
        <x:v>2024-07-01 06:49:39</x:v>
      </x:c>
      <x:c r="I23" s="54" t="str">
        <x:v>traceability-cache</x:v>
      </x:c>
      <x:c r="J23" s="54" t="str">
        <x:v>cache</x:v>
      </x:c>
      <x:c r="K23" s="88" t="n">
        <x:v>1828</x:v>
      </x:c>
      <x:c r="L23" s="60" t="n">
        <x:v>91.35</x:v>
      </x:c>
      <x:c r="M23" s="60" t="n">
        <x:v>0.9585144444444422</x:v>
      </x:c>
      <x:c r="N23" s="60" t="n">
        <x:v>215.34</x:v>
      </x:c>
      <x:c r="O23" s="60" t="n">
        <x:v>11.733555514479166</x:v>
      </x:c>
      <x:c r="P23" s="60" t="n">
        <x:v>11.69410145092332</x:v>
      </x:c>
      <x:c r="Q23" s="60" t="n">
        <x:v>-0.039454063555846</x:v>
      </x:c>
      <x:c r="R23" s="63" t="n">
        <x:v>-0.3362498562959866</x:v>
      </x:c>
    </x:row>
    <x:row r="24" ht="15.75" customHeight="1">
      <x:c r="A24" s="70" t="n">
        <x:v>1</x:v>
      </x:c>
      <x:c r="B24" s="54" t="str">
        <x:v>UP001_20240701_055954_R1</x:v>
      </x:c>
      <x:c r="C24" s="88" t="n">
        <x:v>23</x:v>
      </x:c>
      <x:c r="D24" s="54" t="str">
        <x:v>兴海南路-梅堰</x:v>
      </x:c>
      <x:c r="E24" s="88" t="n">
        <x:v>0</x:v>
      </x:c>
      <x:c r="F24" s="88" t="n">
        <x:v>23</x:v>
      </x:c>
      <x:c r="G24" s="54" t="str">
        <x:v>2024-07-01 06:50:08</x:v>
      </x:c>
      <x:c r="H24" s="54" t="str">
        <x:v>2024-07-01 06:51:31</x:v>
      </x:c>
      <x:c r="I24" s="54" t="str">
        <x:v>traceability-cache</x:v>
      </x:c>
      <x:c r="J24" s="54" t="str">
        <x:v>cache</x:v>
      </x:c>
      <x:c r="K24" s="88" t="n">
        <x:v>1647</x:v>
      </x:c>
      <x:c r="L24" s="60" t="n">
        <x:v>82.3</x:v>
      </x:c>
      <x:c r="M24" s="60" t="n">
        <x:v>0.8343668055555569</x:v>
      </x:c>
      <x:c r="N24" s="60" t="n">
        <x:v>215.44</x:v>
      </x:c>
      <x:c r="O24" s="60" t="n">
        <x:v>13.074035465909724</x:v>
      </x:c>
      <x:c r="P24" s="60" t="n">
        <x:v>13.173277726686209</x:v>
      </x:c>
      <x:c r="Q24" s="60" t="n">
        <x:v>0.0992422607764838</x:v>
      </x:c>
      <x:c r="R24" s="63" t="n">
        <x:v>0.7590790237280292</x:v>
      </x:c>
    </x:row>
    <x:row r="25" ht="15.75" customHeight="1">
      <x:c r="A25" s="70" t="n">
        <x:v>1</x:v>
      </x:c>
      <x:c r="B25" s="54" t="str">
        <x:v>UP001_20240701_055954_R1</x:v>
      </x:c>
      <x:c r="C25" s="88" t="n">
        <x:v>24</x:v>
      </x:c>
      <x:c r="D25" s="54" t="str">
        <x:v>梅堰-永茂路</x:v>
      </x:c>
      <x:c r="E25" s="88" t="n">
        <x:v>0</x:v>
      </x:c>
      <x:c r="F25" s="88" t="n">
        <x:v>24</x:v>
      </x:c>
      <x:c r="G25" s="54" t="str">
        <x:v>2024-07-01 06:52:06</x:v>
      </x:c>
      <x:c r="H25" s="54" t="str">
        <x:v>2024-07-01 06:57:36</x:v>
      </x:c>
      <x:c r="I25" s="54" t="str">
        <x:v>traceability-cache</x:v>
      </x:c>
      <x:c r="J25" s="54" t="str">
        <x:v>cache</x:v>
      </x:c>
      <x:c r="K25" s="88" t="n">
        <x:v>6593</x:v>
      </x:c>
      <x:c r="L25" s="60" t="n">
        <x:v>329.6</x:v>
      </x:c>
      <x:c r="M25" s="60" t="n">
        <x:v>3.674692638888882</x:v>
      </x:c>
      <x:c r="N25" s="60" t="n">
        <x:v>215.34</x:v>
      </x:c>
      <x:c r="O25" s="60" t="n">
        <x:v>26.228948425520837</x:v>
      </x:c>
      <x:c r="P25" s="60" t="n">
        <x:v>25.33243736394364</x:v>
      </x:c>
      <x:c r="Q25" s="60" t="n">
        <x:v>-0.8965110615771918</x:v>
      </x:c>
      <x:c r="R25" s="63" t="n">
        <x:v>-3.418021367203896</x:v>
      </x:c>
    </x:row>
    <x:row r="26" ht="15.75" customHeight="1">
      <x:c r="A26" s="70" t="n">
        <x:v>1</x:v>
      </x:c>
      <x:c r="B26" s="54" t="str">
        <x:v>UP001_20240701_055954_R1</x:v>
      </x:c>
      <x:c r="C26" s="88" t="n">
        <x:v>25</x:v>
      </x:c>
      <x:c r="D26" s="54" t="str">
        <x:v>永茂路-镇海大道</x:v>
      </x:c>
      <x:c r="E26" s="88" t="n">
        <x:v>0</x:v>
      </x:c>
      <x:c r="F26" s="88" t="n">
        <x:v>25</x:v>
      </x:c>
      <x:c r="G26" s="54" t="str">
        <x:v>2024-07-01 06:58:03</x:v>
      </x:c>
      <x:c r="H26" s="54" t="str">
        <x:v>2024-07-01 07:00:26</x:v>
      </x:c>
      <x:c r="I26" s="54" t="str">
        <x:v>traceability-cache</x:v>
      </x:c>
      <x:c r="J26" s="54" t="str">
        <x:v>cache</x:v>
      </x:c>
      <x:c r="K26" s="88" t="n">
        <x:v>2853</x:v>
      </x:c>
      <x:c r="L26" s="60" t="n">
        <x:v>142.6</x:v>
      </x:c>
      <x:c r="M26" s="60" t="n">
        <x:v>2.1319902777777737</x:v>
      </x:c>
      <x:c r="N26" s="60" t="n">
        <x:v>215.34</x:v>
      </x:c>
      <x:c r="O26" s="60" t="n">
        <x:v>17.480314477847223</x:v>
      </x:c>
      <x:c r="P26" s="60" t="n">
        <x:v>17.05785506936632</x:v>
      </x:c>
      <x:c r="Q26" s="60" t="n">
        <x:v>-0.4224594084809032</x:v>
      </x:c>
      <x:c r="R26" s="63" t="n">
        <x:v>-2.416772358508112</x:v>
      </x:c>
    </x:row>
    <x:row r="27" ht="15.75" customHeight="1">
      <x:c r="A27" s="70" t="n">
        <x:v>1</x:v>
      </x:c>
      <x:c r="B27" s="54" t="str">
        <x:v>UP001_20240701_055954_R1</x:v>
      </x:c>
      <x:c r="C27" s="88" t="n">
        <x:v>26</x:v>
      </x:c>
      <x:c r="D27" s="54" t="str">
        <x:v>镇海大道-骆驼桥</x:v>
      </x:c>
      <x:c r="E27" s="88" t="n">
        <x:v>0</x:v>
      </x:c>
      <x:c r="F27" s="88" t="n">
        <x:v>26</x:v>
      </x:c>
      <x:c r="G27" s="54" t="str">
        <x:v>2024-07-01 07:00:53</x:v>
      </x:c>
      <x:c r="H27" s="54" t="str">
        <x:v>2024-07-01 07:02:50</x:v>
      </x:c>
      <x:c r="I27" s="54" t="str">
        <x:v>traceability-cache</x:v>
      </x:c>
      <x:c r="J27" s="54" t="str">
        <x:v>cache</x:v>
      </x:c>
      <x:c r="K27" s="88" t="n">
        <x:v>2339</x:v>
      </x:c>
      <x:c r="L27" s="60" t="n">
        <x:v>116.9</x:v>
      </x:c>
      <x:c r="M27" s="60" t="n">
        <x:v>1.5963661111111151</x:v>
      </x:c>
      <x:c r="N27" s="60" t="n">
        <x:v>215.34</x:v>
      </x:c>
      <x:c r="O27" s="60" t="n">
        <x:v>20.094219568152777</x:v>
      </x:c>
      <x:c r="P27" s="60" t="n">
        <x:v>18.43509580578324</x:v>
      </x:c>
      <x:c r="Q27" s="60" t="n">
        <x:v>-1.6591237623695378</x:v>
      </x:c>
      <x:c r="R27" s="63" t="n">
        <x:v>-8.256721574790964</x:v>
      </x:c>
    </x:row>
    <x:row r="28" ht="15.75" customHeight="1">
      <x:c r="A28" s="70" t="n">
        <x:v>3</x:v>
      </x:c>
      <x:c r="B28" s="54" t="str">
        <x:v>UP003_20240701_102344_R111</x:v>
      </x:c>
      <x:c r="C28" s="88" t="n">
        <x:v>1</x:v>
      </x:c>
      <x:c r="D28" s="54" t="str">
        <x:v>布政-张家潭</x:v>
      </x:c>
      <x:c r="E28" s="88" t="n">
        <x:v>2</x:v>
      </x:c>
      <x:c r="F28" s="88" t="n">
        <x:v>111</x:v>
      </x:c>
      <x:c r="G28" s="54" t="str">
        <x:v>2024-07-01 10:23:44</x:v>
      </x:c>
      <x:c r="H28" s="54" t="str">
        <x:v>2024-07-01 10:25:41</x:v>
      </x:c>
      <x:c r="I28" s="54" t="str">
        <x:v>traceability-cache</x:v>
      </x:c>
      <x:c r="J28" s="54" t="str">
        <x:v>cache</x:v>
      </x:c>
      <x:c r="K28" s="88" t="n">
        <x:v>2350</x:v>
      </x:c>
      <x:c r="L28" s="60" t="n">
        <x:v>117.45</x:v>
      </x:c>
      <x:c r="M28" s="60" t="n">
        <x:v>1.428316250000002</x:v>
      </x:c>
      <x:c r="N28" s="60" t="n">
        <x:v>215.24</x:v>
      </x:c>
      <x:c r="O28" s="60" t="n">
        <x:v>13.422513381875</x:v>
      </x:c>
      <x:c r="P28" s="60" t="n">
        <x:v>13.130699644212967</x:v>
      </x:c>
      <x:c r="Q28" s="60" t="n">
        <x:v>-0.2918137376620325</x:v>
      </x:c>
      <x:c r="R28" s="63" t="n">
        <x:v>-2.174061812119936</x:v>
      </x:c>
    </x:row>
    <x:row r="29" ht="15.75" customHeight="1">
      <x:c r="A29" s="70" t="n">
        <x:v>3</x:v>
      </x:c>
      <x:c r="B29" s="54" t="str">
        <x:v>UP003_20240701_102344_R111</x:v>
      </x:c>
      <x:c r="C29" s="88" t="n">
        <x:v>2</x:v>
      </x:c>
      <x:c r="D29" s="54" t="str">
        <x:v>张家潭-同德路</x:v>
      </x:c>
      <x:c r="E29" s="88" t="n">
        <x:v>2</x:v>
      </x:c>
      <x:c r="F29" s="88" t="n">
        <x:v>112</x:v>
      </x:c>
      <x:c r="G29" s="54" t="str">
        <x:v>2024-07-01 10:26:10</x:v>
      </x:c>
      <x:c r="H29" s="54" t="str">
        <x:v>2024-07-01 10:28:42</x:v>
      </x:c>
      <x:c r="I29" s="54" t="str">
        <x:v>traceability-cache</x:v>
      </x:c>
      <x:c r="J29" s="54" t="str">
        <x:v>cache</x:v>
      </x:c>
      <x:c r="K29" s="88" t="n">
        <x:v>3036</x:v>
      </x:c>
      <x:c r="L29" s="60" t="n">
        <x:v>151.75</x:v>
      </x:c>
      <x:c r="M29" s="60" t="n">
        <x:v>2.020359305555549</x:v>
      </x:c>
      <x:c r="N29" s="60" t="n">
        <x:v>215.24</x:v>
      </x:c>
      <x:c r="O29" s="60" t="n">
        <x:v>17.522297562888888</x:v>
      </x:c>
      <x:c r="P29" s="60" t="n">
        <x:v>16.785875983733103</x:v>
      </x:c>
      <x:c r="Q29" s="60" t="n">
        <x:v>-0.7364215791557872</x:v>
      </x:c>
      <x:c r="R29" s="63" t="n">
        <x:v>-4.202768367063239</x:v>
      </x:c>
    </x:row>
    <x:row r="30" ht="15.75" customHeight="1">
      <x:c r="A30" s="70" t="n">
        <x:v>3</x:v>
      </x:c>
      <x:c r="B30" s="54" t="str">
        <x:v>UP003_20240701_102344_R111</x:v>
      </x:c>
      <x:c r="C30" s="88" t="n">
        <x:v>3</x:v>
      </x:c>
      <x:c r="D30" s="54" t="str">
        <x:v>同德路-石碶</x:v>
      </x:c>
      <x:c r="E30" s="88" t="n">
        <x:v>2</x:v>
      </x:c>
      <x:c r="F30" s="88" t="n">
        <x:v>113</x:v>
      </x:c>
      <x:c r="G30" s="54" t="str">
        <x:v>2024-07-01 10:29:11</x:v>
      </x:c>
      <x:c r="H30" s="54" t="str">
        <x:v>2024-07-01 10:31:03</x:v>
      </x:c>
      <x:c r="I30" s="54" t="str">
        <x:v>traceability-cache</x:v>
      </x:c>
      <x:c r="J30" s="54" t="str">
        <x:v>cache</x:v>
      </x:c>
      <x:c r="K30" s="88" t="n">
        <x:v>2242</x:v>
      </x:c>
      <x:c r="L30" s="60" t="n">
        <x:v>112.05</x:v>
      </x:c>
      <x:c r="M30" s="60" t="n">
        <x:v>1.3308441666666662</x:v>
      </x:c>
      <x:c r="N30" s="60" t="n">
        <x:v>215.34</x:v>
      </x:c>
      <x:c r="O30" s="60" t="n">
        <x:v>13.0714988545</x:v>
      </x:c>
      <x:c r="P30" s="60" t="n">
        <x:v>13.07729606759569</x:v>
      </x:c>
      <x:c r="Q30" s="60" t="n">
        <x:v>0.0057972130956877</x:v>
      </x:c>
      <x:c r="R30" s="63" t="n">
        <x:v>0.0443500256567135</x:v>
      </x:c>
    </x:row>
    <x:row r="31" ht="15.75" customHeight="1">
      <x:c r="A31" s="70" t="n">
        <x:v>3</x:v>
      </x:c>
      <x:c r="B31" s="54" t="str">
        <x:v>UP003_20240701_102344_R111</x:v>
      </x:c>
      <x:c r="C31" s="88" t="n">
        <x:v>4</x:v>
      </x:c>
      <x:c r="D31" s="54" t="str">
        <x:v>石碶-雅渡</x:v>
      </x:c>
      <x:c r="E31" s="88" t="n">
        <x:v>2</x:v>
      </x:c>
      <x:c r="F31" s="88" t="n">
        <x:v>114</x:v>
      </x:c>
      <x:c r="G31" s="54" t="str">
        <x:v>2024-07-01 10:31:38</x:v>
      </x:c>
      <x:c r="H31" s="54" t="str">
        <x:v>2024-07-01 10:33:00</x:v>
      </x:c>
      <x:c r="I31" s="54" t="str">
        <x:v>traceability-cache</x:v>
      </x:c>
      <x:c r="J31" s="54" t="str">
        <x:v>cache</x:v>
      </x:c>
      <x:c r="K31" s="88" t="n">
        <x:v>1638</x:v>
      </x:c>
      <x:c r="L31" s="60" t="n">
        <x:v>81.85</x:v>
      </x:c>
      <x:c r="M31" s="60" t="n">
        <x:v>0.8272251388888879</x:v>
      </x:c>
      <x:c r="N31" s="60" t="n">
        <x:v>215.34</x:v>
      </x:c>
      <x:c r="O31" s="60" t="n">
        <x:v>13.04145602486111</x:v>
      </x:c>
      <x:c r="P31" s="60" t="n">
        <x:v>13.647408918582595</x:v>
      </x:c>
      <x:c r="Q31" s="60" t="n">
        <x:v>0.6059528937214854</x:v>
      </x:c>
      <x:c r="R31" s="63" t="n">
        <x:v>4.646359214541298</x:v>
      </x:c>
    </x:row>
    <x:row r="32" ht="15.75" customHeight="1">
      <x:c r="A32" s="70" t="n">
        <x:v>3</x:v>
      </x:c>
      <x:c r="B32" s="54" t="str">
        <x:v>UP003_20240701_102344_R111</x:v>
      </x:c>
      <x:c r="C32" s="88" t="n">
        <x:v>5</x:v>
      </x:c>
      <x:c r="D32" s="54" t="str">
        <x:v>雅渡-庙堰</x:v>
      </x:c>
      <x:c r="E32" s="88" t="n">
        <x:v>2</x:v>
      </x:c>
      <x:c r="F32" s="88" t="n">
        <x:v>115</x:v>
      </x:c>
      <x:c r="G32" s="54" t="str">
        <x:v>2024-07-01 10:33:29</x:v>
      </x:c>
      <x:c r="H32" s="54" t="str">
        <x:v>2024-07-01 10:35:41</x:v>
      </x:c>
      <x:c r="I32" s="54" t="str">
        <x:v>traceability-cache</x:v>
      </x:c>
      <x:c r="J32" s="54" t="str">
        <x:v>cache</x:v>
      </x:c>
      <x:c r="K32" s="88" t="n">
        <x:v>2629</x:v>
      </x:c>
      <x:c r="L32" s="60" t="n">
        <x:v>131.4</x:v>
      </x:c>
      <x:c r="M32" s="60" t="n">
        <x:v>1.860185277777783</x:v>
      </x:c>
      <x:c r="N32" s="60" t="n">
        <x:v>215.34</x:v>
      </x:c>
      <x:c r="O32" s="60" t="n">
        <x:v>21.037346811840276</x:v>
      </x:c>
      <x:c r="P32" s="60" t="n">
        <x:v>20.342039016911208</x:v>
      </x:c>
      <x:c r="Q32" s="60" t="n">
        <x:v>-0.6953077949290674</x:v>
      </x:c>
      <x:c r="R32" s="63" t="n">
        <x:v>-3.30511162433151</x:v>
      </x:c>
    </x:row>
    <x:row r="33" ht="15.75" customHeight="1">
      <x:c r="A33" s="70" t="n">
        <x:v>3</x:v>
      </x:c>
      <x:c r="B33" s="54" t="str">
        <x:v>UP003_20240701_102344_R111</x:v>
      </x:c>
      <x:c r="C33" s="88" t="n">
        <x:v>6</x:v>
      </x:c>
      <x:c r="D33" s="54" t="str">
        <x:v>庙堰-钟公庙</x:v>
      </x:c>
      <x:c r="E33" s="88" t="n">
        <x:v>2</x:v>
      </x:c>
      <x:c r="F33" s="88" t="n">
        <x:v>116</x:v>
      </x:c>
      <x:c r="G33" s="54" t="str">
        <x:v>2024-07-01 10:36:10</x:v>
      </x:c>
      <x:c r="H33" s="54" t="str">
        <x:v>2024-07-01 10:37:46</x:v>
      </x:c>
      <x:c r="I33" s="54" t="str">
        <x:v>traceability-cache</x:v>
      </x:c>
      <x:c r="J33" s="54" t="str">
        <x:v>cache</x:v>
      </x:c>
      <x:c r="K33" s="88" t="n">
        <x:v>1916</x:v>
      </x:c>
      <x:c r="L33" s="60" t="n">
        <x:v>95.75</x:v>
      </x:c>
      <x:c r="M33" s="60" t="n">
        <x:v>1.087355694444446</x:v>
      </x:c>
      <x:c r="N33" s="60" t="n">
        <x:v>215.54</x:v>
      </x:c>
      <x:c r="O33" s="60" t="n">
        <x:v>13.754659988784724</x:v>
      </x:c>
      <x:c r="P33" s="60" t="n">
        <x:v>13.8307925554671</x:v>
      </x:c>
      <x:c r="Q33" s="60" t="n">
        <x:v>0.076132566682374</x:v>
      </x:c>
      <x:c r="R33" s="63" t="n">
        <x:v>0.5535038070330422</x:v>
      </x:c>
    </x:row>
    <x:row r="34" ht="15.75" customHeight="1">
      <x:c r="A34" s="70" t="n">
        <x:v>3</x:v>
      </x:c>
      <x:c r="B34" s="54" t="str">
        <x:v>UP003_20240701_102344_R111</x:v>
      </x:c>
      <x:c r="C34" s="88" t="n">
        <x:v>7</x:v>
      </x:c>
      <x:c r="D34" s="54" t="str">
        <x:v>钟公庙-鄞州区政府</x:v>
      </x:c>
      <x:c r="E34" s="88" t="n">
        <x:v>2</x:v>
      </x:c>
      <x:c r="F34" s="88" t="n">
        <x:v>117</x:v>
      </x:c>
      <x:c r="G34" s="54" t="str">
        <x:v>2024-07-01 10:38:16</x:v>
      </x:c>
      <x:c r="H34" s="54" t="str">
        <x:v>2024-07-01 10:39:46</x:v>
      </x:c>
      <x:c r="I34" s="54" t="str">
        <x:v>traceability-cache</x:v>
      </x:c>
      <x:c r="J34" s="54" t="str">
        <x:v>cache</x:v>
      </x:c>
      <x:c r="K34" s="88" t="n">
        <x:v>1807</x:v>
      </x:c>
      <x:c r="L34" s="60" t="n">
        <x:v>90.3</x:v>
      </x:c>
      <x:c r="M34" s="60" t="n">
        <x:v>0.984776527777776</x:v>
      </x:c>
      <x:c r="N34" s="60" t="n">
        <x:v>215.64</x:v>
      </x:c>
      <x:c r="O34" s="60" t="n">
        <x:v>10.268268005729167</x:v>
      </x:c>
      <x:c r="P34" s="60" t="n">
        <x:v>11.011177366198702</x:v>
      </x:c>
      <x:c r="Q34" s="60" t="n">
        <x:v>0.7429093604695336</x:v>
      </x:c>
      <x:c r="R34" s="63" t="n">
        <x:v>7.235001658069581</x:v>
      </x:c>
    </x:row>
    <x:row r="35" ht="15.75" customHeight="1">
      <x:c r="A35" s="70" t="n">
        <x:v>3</x:v>
      </x:c>
      <x:c r="B35" s="54" t="str">
        <x:v>UP003_20240701_102344_R111</x:v>
      </x:c>
      <x:c r="C35" s="88" t="n">
        <x:v>8</x:v>
      </x:c>
      <x:c r="D35" s="54" t="str">
        <x:v>鄞州区政府-钱湖南路</x:v>
      </x:c>
      <x:c r="E35" s="88" t="n">
        <x:v>2</x:v>
      </x:c>
      <x:c r="F35" s="88" t="n">
        <x:v>118</x:v>
      </x:c>
      <x:c r="G35" s="54" t="str">
        <x:v>2024-07-01 10:40:26</x:v>
      </x:c>
      <x:c r="H35" s="54" t="str">
        <x:v>2024-07-01 10:42:39</x:v>
      </x:c>
      <x:c r="I35" s="54" t="str">
        <x:v>traceability-cache</x:v>
      </x:c>
      <x:c r="J35" s="54" t="str">
        <x:v>cache</x:v>
      </x:c>
      <x:c r="K35" s="88" t="n">
        <x:v>2651</x:v>
      </x:c>
      <x:c r="L35" s="60" t="n">
        <x:v>132.5</x:v>
      </x:c>
      <x:c r="M35" s="60" t="n">
        <x:v>1.811702638888891</x:v>
      </x:c>
      <x:c r="N35" s="60" t="n">
        <x:v>215.74</x:v>
      </x:c>
      <x:c r="O35" s="60" t="n">
        <x:v>17.377923289743055</x:v>
      </x:c>
      <x:c r="P35" s="60" t="n">
        <x:v>15.91120684642937</x:v>
      </x:c>
      <x:c r="Q35" s="60" t="n">
        <x:v>-1.466716443313686</x:v>
      </x:c>
      <x:c r="R35" s="63" t="n">
        <x:v>-8.4401134638417</x:v>
      </x:c>
    </x:row>
    <x:row r="36" ht="15.75" customHeight="1">
      <x:c r="A36" s="70" t="n">
        <x:v>3</x:v>
      </x:c>
      <x:c r="B36" s="54" t="str">
        <x:v>UP003_20240701_102344_R111</x:v>
      </x:c>
      <x:c r="C36" s="88" t="n">
        <x:v>9</x:v>
      </x:c>
      <x:c r="D36" s="54" t="str">
        <x:v>钱湖南路-南高教园区</x:v>
      </x:c>
      <x:c r="E36" s="88" t="n">
        <x:v>2</x:v>
      </x:c>
      <x:c r="F36" s="88" t="n">
        <x:v>119</x:v>
      </x:c>
      <x:c r="G36" s="54" t="str">
        <x:v>2024-07-01 10:43:08</x:v>
      </x:c>
      <x:c r="H36" s="54" t="str">
        <x:v>2024-07-01 10:44:49</x:v>
      </x:c>
      <x:c r="I36" s="54" t="str">
        <x:v>traceability-cache</x:v>
      </x:c>
      <x:c r="J36" s="54" t="str">
        <x:v>cache</x:v>
      </x:c>
      <x:c r="K36" s="88" t="n">
        <x:v>2012</x:v>
      </x:c>
      <x:c r="L36" s="60" t="n">
        <x:v>100.55</x:v>
      </x:c>
      <x:c r="M36" s="60" t="n">
        <x:v>1.168985277777778</x:v>
      </x:c>
      <x:c r="N36" s="60" t="n">
        <x:v>215.84</x:v>
      </x:c>
      <x:c r="O36" s="60" t="n">
        <x:v>13.70601142298611</x:v>
      </x:c>
      <x:c r="P36" s="60" t="n">
        <x:v>13.740859353309856</x:v>
      </x:c>
      <x:c r="Q36" s="60" t="n">
        <x:v>0.0348479303237454</x:v>
      </x:c>
      <x:c r="R36" s="63" t="n">
        <x:v>0.2542528912919378</x:v>
      </x:c>
    </x:row>
    <x:row r="37" ht="15.75" customHeight="1">
      <x:c r="A37" s="70" t="n">
        <x:v>3</x:v>
      </x:c>
      <x:c r="B37" s="54" t="str">
        <x:v>UP003_20240701_102344_R111</x:v>
      </x:c>
      <x:c r="C37" s="88" t="n">
        <x:v>10</x:v>
      </x:c>
      <x:c r="D37" s="54" t="str">
        <x:v>南高教园区-下应路</x:v>
      </x:c>
      <x:c r="E37" s="88" t="n">
        <x:v>2</x:v>
      </x:c>
      <x:c r="F37" s="88" t="n">
        <x:v>120</x:v>
      </x:c>
      <x:c r="G37" s="54" t="str">
        <x:v>2024-07-01 10:45:24</x:v>
      </x:c>
      <x:c r="H37" s="54" t="str">
        <x:v>2024-07-01 10:47:17</x:v>
      </x:c>
      <x:c r="I37" s="54" t="str">
        <x:v>traceability-cache</x:v>
      </x:c>
      <x:c r="J37" s="54" t="str">
        <x:v>cache</x:v>
      </x:c>
      <x:c r="K37" s="88" t="n">
        <x:v>2267</x:v>
      </x:c>
      <x:c r="L37" s="60" t="n">
        <x:v>113.3</x:v>
      </x:c>
      <x:c r="M37" s="60" t="n">
        <x:v>1.451808194444441</x:v>
      </x:c>
      <x:c r="N37" s="60" t="n">
        <x:v>216.24</x:v>
      </x:c>
      <x:c r="O37" s="60" t="n">
        <x:v>18.30305503961805</x:v>
      </x:c>
      <x:c r="P37" s="60" t="n">
        <x:v>17.24625491019297</x:v>
      </x:c>
      <x:c r="Q37" s="60" t="n">
        <x:v>-1.0568001294250862</x:v>
      </x:c>
      <x:c r="R37" s="63" t="n">
        <x:v>-5.773900188452579</x:v>
      </x:c>
    </x:row>
    <x:row r="38" ht="15.75" customHeight="1">
      <x:c r="A38" s="70" t="n">
        <x:v>3</x:v>
      </x:c>
      <x:c r="B38" s="54" t="str">
        <x:v>UP003_20240701_102344_R111</x:v>
      </x:c>
      <x:c r="C38" s="88" t="n">
        <x:v>11</x:v>
      </x:c>
      <x:c r="D38" s="54" t="str">
        <x:v>下应路-大洋江</x:v>
      </x:c>
      <x:c r="E38" s="88" t="n">
        <x:v>2</x:v>
      </x:c>
      <x:c r="F38" s="88" t="n">
        <x:v>121</x:v>
      </x:c>
      <x:c r="G38" s="54" t="str">
        <x:v>2024-07-01 10:47:47</x:v>
      </x:c>
      <x:c r="H38" s="54" t="str">
        <x:v>2024-07-01 10:49:34</x:v>
      </x:c>
      <x:c r="I38" s="54" t="str">
        <x:v>traceability-cache</x:v>
      </x:c>
      <x:c r="J38" s="54" t="str">
        <x:v>cache</x:v>
      </x:c>
      <x:c r="K38" s="88" t="n">
        <x:v>2140</x:v>
      </x:c>
      <x:c r="L38" s="60" t="n">
        <x:v>106.95</x:v>
      </x:c>
      <x:c r="M38" s="60" t="n">
        <x:v>1.213455277777778</x:v>
      </x:c>
      <x:c r="N38" s="60" t="n">
        <x:v>216.24</x:v>
      </x:c>
      <x:c r="O38" s="60" t="n">
        <x:v>11.92454510754861</x:v>
      </x:c>
      <x:c r="P38" s="60" t="n">
        <x:v>11.608505490836729</x:v>
      </x:c>
      <x:c r="Q38" s="60" t="n">
        <x:v>-0.3160396167118815</x:v>
      </x:c>
      <x:c r="R38" s="63" t="n">
        <x:v>-2.6503284935525007</x:v>
      </x:c>
    </x:row>
    <x:row r="39" ht="15.75" customHeight="1">
      <x:c r="A39" s="70" t="n">
        <x:v>3</x:v>
      </x:c>
      <x:c r="B39" s="54" t="str">
        <x:v>UP003_20240701_102344_R111</x:v>
      </x:c>
      <x:c r="C39" s="88" t="n">
        <x:v>12</x:v>
      </x:c>
      <x:c r="D39" s="54" t="str">
        <x:v>大洋江-泗港</x:v>
      </x:c>
      <x:c r="E39" s="88" t="n">
        <x:v>2</x:v>
      </x:c>
      <x:c r="F39" s="88" t="n">
        <x:v>122</x:v>
      </x:c>
      <x:c r="G39" s="54" t="str">
        <x:v>2024-07-01 10:50:03</x:v>
      </x:c>
      <x:c r="H39" s="54" t="str">
        <x:v>2024-07-01 10:51:35</x:v>
      </x:c>
      <x:c r="I39" s="54" t="str">
        <x:v>traceability-cache</x:v>
      </x:c>
      <x:c r="J39" s="54" t="str">
        <x:v>cache</x:v>
      </x:c>
      <x:c r="K39" s="88" t="n">
        <x:v>1825</x:v>
      </x:c>
      <x:c r="L39" s="60" t="n">
        <x:v>91.2</x:v>
      </x:c>
      <x:c r="M39" s="60" t="n">
        <x:v>0.9583615277777788</x:v>
      </x:c>
      <x:c r="N39" s="60" t="n">
        <x:v>216.14</x:v>
      </x:c>
      <x:c r="O39" s="60" t="n">
        <x:v>11.631495811375</x:v>
      </x:c>
      <x:c r="P39" s="60" t="n">
        <x:v>11.848971597274511</x:v>
      </x:c>
      <x:c r="Q39" s="60" t="n">
        <x:v>0.2174757858995108</x:v>
      </x:c>
      <x:c r="R39" s="63" t="n">
        <x:v>1.8697146904083544</x:v>
      </x:c>
    </x:row>
    <x:row r="40" ht="15.75" customHeight="1">
      <x:c r="A40" s="70" t="n">
        <x:v>3</x:v>
      </x:c>
      <x:c r="B40" s="54" t="str">
        <x:v>UP003_20240701_102344_R111</x:v>
      </x:c>
      <x:c r="C40" s="88" t="n">
        <x:v>13</x:v>
      </x:c>
      <x:c r="D40" s="54" t="str">
        <x:v>泗港-曹隘</x:v>
      </x:c>
      <x:c r="E40" s="88" t="n">
        <x:v>2</x:v>
      </x:c>
      <x:c r="F40" s="88" t="n">
        <x:v>123</x:v>
      </x:c>
      <x:c r="G40" s="54" t="str">
        <x:v>2024-07-01 10:52:04</x:v>
      </x:c>
      <x:c r="H40" s="54" t="str">
        <x:v>2024-07-01 10:54:19</x:v>
      </x:c>
      <x:c r="I40" s="54" t="str">
        <x:v>traceability-cache</x:v>
      </x:c>
      <x:c r="J40" s="54" t="str">
        <x:v>cache</x:v>
      </x:c>
      <x:c r="K40" s="88" t="n">
        <x:v>2702</x:v>
      </x:c>
      <x:c r="L40" s="60" t="n">
        <x:v>135.05</x:v>
      </x:c>
      <x:c r="M40" s="60" t="n">
        <x:v>1.798152916666669</x:v>
      </x:c>
      <x:c r="N40" s="60" t="n">
        <x:v>215.94</x:v>
      </x:c>
      <x:c r="O40" s="60" t="n">
        <x:v>23.41963998710417</x:v>
      </x:c>
      <x:c r="P40" s="60" t="n">
        <x:v>23.855678850915115</x:v>
      </x:c>
      <x:c r="Q40" s="60" t="n">
        <x:v>0.4360388638109471</x:v>
      </x:c>
      <x:c r="R40" s="63" t="n">
        <x:v>1.861851266932576</x:v>
      </x:c>
    </x:row>
    <x:row r="41" ht="15.75" customHeight="1">
      <x:c r="A41" s="70" t="n">
        <x:v>3</x:v>
      </x:c>
      <x:c r="B41" s="54" t="str">
        <x:v>UP003_20240701_102344_R111</x:v>
      </x:c>
      <x:c r="C41" s="88" t="n">
        <x:v>14</x:v>
      </x:c>
      <x:c r="D41" s="54" t="str">
        <x:v>曹隘-柳隘</x:v>
      </x:c>
      <x:c r="E41" s="88" t="n">
        <x:v>2</x:v>
      </x:c>
      <x:c r="F41" s="88" t="n">
        <x:v>124</x:v>
      </x:c>
      <x:c r="G41" s="54" t="str">
        <x:v>2024-07-01 10:54:50</x:v>
      </x:c>
      <x:c r="H41" s="54" t="str">
        <x:v>2024-07-01 10:56:36</x:v>
      </x:c>
      <x:c r="I41" s="54" t="str">
        <x:v>traceability-cache</x:v>
      </x:c>
      <x:c r="J41" s="54" t="str">
        <x:v>cache</x:v>
      </x:c>
      <x:c r="K41" s="88" t="n">
        <x:v>2124</x:v>
      </x:c>
      <x:c r="L41" s="60" t="n">
        <x:v>106.15</x:v>
      </x:c>
      <x:c r="M41" s="60" t="n">
        <x:v>1.306780972222223</x:v>
      </x:c>
      <x:c r="N41" s="60" t="n">
        <x:v>215.84</x:v>
      </x:c>
      <x:c r="O41" s="60" t="n">
        <x:v>20.883833653263885</x:v>
      </x:c>
      <x:c r="P41" s="60" t="n">
        <x:v>21.94649750417345</x:v>
      </x:c>
      <x:c r="Q41" s="60" t="n">
        <x:v>1.0626638509095647</x:v>
      </x:c>
      <x:c r="R41" s="63" t="n">
        <x:v>5.088451998579693</x:v>
      </x:c>
    </x:row>
    <x:row r="42" ht="15.75" customHeight="1">
      <x:c r="A42" s="70" t="n">
        <x:v>3</x:v>
      </x:c>
      <x:c r="B42" s="54" t="str">
        <x:v>UP003_20240701_102344_R111</x:v>
      </x:c>
      <x:c r="C42" s="88" t="n">
        <x:v>15</x:v>
      </x:c>
      <x:c r="D42" s="54" t="str">
        <x:v>柳隘-海晏北路</x:v>
      </x:c>
      <x:c r="E42" s="88" t="n">
        <x:v>2</x:v>
      </x:c>
      <x:c r="F42" s="88" t="n">
        <x:v>125</x:v>
      </x:c>
      <x:c r="G42" s="54" t="str">
        <x:v>2024-07-01 10:57:05</x:v>
      </x:c>
      <x:c r="H42" s="54" t="str">
        <x:v>2024-07-01 10:58:37</x:v>
      </x:c>
      <x:c r="I42" s="54" t="str">
        <x:v>traceability-cache</x:v>
      </x:c>
      <x:c r="J42" s="54" t="str">
        <x:v>cache</x:v>
      </x:c>
      <x:c r="K42" s="88" t="n">
        <x:v>1834</x:v>
      </x:c>
      <x:c r="L42" s="60" t="n">
        <x:v>91.65</x:v>
      </x:c>
      <x:c r="M42" s="60" t="n">
        <x:v>0.98107625</x:v>
      </x:c>
      <x:c r="N42" s="60" t="n">
        <x:v>215.84</x:v>
      </x:c>
      <x:c r="O42" s="60" t="n">
        <x:v>12.154228787729169</x:v>
      </x:c>
      <x:c r="P42" s="60" t="n">
        <x:v>12.290828523923686</x:v>
      </x:c>
      <x:c r="Q42" s="60" t="n">
        <x:v>0.1365997361945192</x:v>
      </x:c>
      <x:c r="R42" s="63" t="n">
        <x:v>1.1238864972858618</x:v>
      </x:c>
    </x:row>
    <x:row r="43" ht="15.75" customHeight="1">
      <x:c r="A43" s="70" t="n">
        <x:v>3</x:v>
      </x:c>
      <x:c r="B43" s="54" t="str">
        <x:v>UP003_20240701_102344_R111</x:v>
      </x:c>
      <x:c r="C43" s="88" t="n">
        <x:v>16</x:v>
      </x:c>
      <x:c r="D43" s="54" t="str">
        <x:v>海晏北路-民安东路</x:v>
      </x:c>
      <x:c r="E43" s="88" t="n">
        <x:v>2</x:v>
      </x:c>
      <x:c r="F43" s="88" t="n">
        <x:v>126</x:v>
      </x:c>
      <x:c r="G43" s="54" t="str">
        <x:v>2024-07-01 10:59:22</x:v>
      </x:c>
      <x:c r="H43" s="54" t="str">
        <x:v>2024-07-01 11:00:46</x:v>
      </x:c>
      <x:c r="I43" s="54" t="str">
        <x:v>traceability-cache</x:v>
      </x:c>
      <x:c r="J43" s="54" t="str">
        <x:v>cache</x:v>
      </x:c>
      <x:c r="K43" s="88" t="n">
        <x:v>1680</x:v>
      </x:c>
      <x:c r="L43" s="60" t="n">
        <x:v>83.95</x:v>
      </x:c>
      <x:c r="M43" s="60" t="n">
        <x:v>0.865087222222222</x:v>
      </x:c>
      <x:c r="N43" s="60" t="n">
        <x:v>216.94</x:v>
      </x:c>
      <x:c r="O43" s="60" t="n">
        <x:v>15.644035592777778</x:v>
      </x:c>
      <x:c r="P43" s="60" t="n">
        <x:v>16.028739296562595</x:v>
      </x:c>
      <x:c r="Q43" s="60" t="n">
        <x:v>0.3847037037848149</x:v>
      </x:c>
      <x:c r="R43" s="63" t="n">
        <x:v>2.4591078274100653</x:v>
      </x:c>
    </x:row>
    <x:row r="44" ht="15.75" customHeight="1">
      <x:c r="A44" s="70" t="n">
        <x:v>3</x:v>
      </x:c>
      <x:c r="B44" s="54" t="str">
        <x:v>UP003_20240701_102344_R111</x:v>
      </x:c>
      <x:c r="C44" s="88" t="n">
        <x:v>17</x:v>
      </x:c>
      <x:c r="D44" s="54" t="str">
        <x:v>民安东路-会展中心</x:v>
      </x:c>
      <x:c r="E44" s="88" t="n">
        <x:v>2</x:v>
      </x:c>
      <x:c r="F44" s="88" t="n">
        <x:v>127</x:v>
      </x:c>
      <x:c r="G44" s="54" t="str">
        <x:v>2024-07-01 11:01:16</x:v>
      </x:c>
      <x:c r="H44" s="54" t="str">
        <x:v>2024-07-01 11:02:32</x:v>
      </x:c>
      <x:c r="I44" s="54" t="str">
        <x:v>traceability-cache</x:v>
      </x:c>
      <x:c r="J44" s="54" t="str">
        <x:v>cache</x:v>
      </x:c>
      <x:c r="K44" s="88" t="n">
        <x:v>1533</x:v>
      </x:c>
      <x:c r="L44" s="60" t="n">
        <x:v>76.6</x:v>
      </x:c>
      <x:c r="M44" s="60" t="n">
        <x:v>0.7256555555555537</x:v>
      </x:c>
      <x:c r="N44" s="60" t="n">
        <x:v>216.94</x:v>
      </x:c>
      <x:c r="O44" s="60" t="n">
        <x:v>12.320406560215275</x:v>
      </x:c>
      <x:c r="P44" s="60" t="n">
        <x:v>12.75766129704987</x:v>
      </x:c>
      <x:c r="Q44" s="60" t="n">
        <x:v>0.4372547368345931</x:v>
      </x:c>
      <x:c r="R44" s="63" t="n">
        <x:v>3.549028473188249</x:v>
      </x:c>
    </x:row>
    <x:row r="45" ht="15.75" customHeight="1">
      <x:c r="A45" s="70" t="n">
        <x:v>3</x:v>
      </x:c>
      <x:c r="B45" s="54" t="str">
        <x:v>UP003_20240701_102344_R111</x:v>
      </x:c>
      <x:c r="C45" s="88" t="n">
        <x:v>18</x:v>
      </x:c>
      <x:c r="D45" s="54" t="str">
        <x:v>会展中心-院士路</x:v>
      </x:c>
      <x:c r="E45" s="88" t="n">
        <x:v>2</x:v>
      </x:c>
      <x:c r="F45" s="88" t="n">
        <x:v>128</x:v>
      </x:c>
      <x:c r="G45" s="54" t="str">
        <x:v>2024-07-01 11:03:02</x:v>
      </x:c>
      <x:c r="H45" s="54" t="str">
        <x:v>2024-07-01 11:04:56</x:v>
      </x:c>
      <x:c r="I45" s="54" t="str">
        <x:v>traceability-cache</x:v>
      </x:c>
      <x:c r="J45" s="54" t="str">
        <x:v>cache</x:v>
      </x:c>
      <x:c r="K45" s="88" t="n">
        <x:v>2289</x:v>
      </x:c>
      <x:c r="L45" s="60" t="n">
        <x:v>114.4</x:v>
      </x:c>
      <x:c r="M45" s="60" t="n">
        <x:v>1.552478472222221</x:v>
      </x:c>
      <x:c r="N45" s="60" t="n">
        <x:v>216.84</x:v>
      </x:c>
      <x:c r="O45" s="60" t="n">
        <x:v>14.944442410055554</x:v>
      </x:c>
      <x:c r="P45" s="60" t="n">
        <x:v>15.0206978061786</x:v>
      </x:c>
      <x:c r="Q45" s="60" t="n">
        <x:v>0.076255396123046</x:v>
      </x:c>
      <x:c r="R45" s="63" t="n">
        <x:v>0.5102592256753361</x:v>
      </x:c>
    </x:row>
    <x:row r="46" ht="15.75" customHeight="1">
      <x:c r="A46" s="70" t="n">
        <x:v>3</x:v>
      </x:c>
      <x:c r="B46" s="54" t="str">
        <x:v>UP003_20240701_102344_R111</x:v>
      </x:c>
      <x:c r="C46" s="88" t="n">
        <x:v>19</x:v>
      </x:c>
      <x:c r="D46" s="54" t="str">
        <x:v>院士路-盎孟港</x:v>
      </x:c>
      <x:c r="E46" s="88" t="n">
        <x:v>2</x:v>
      </x:c>
      <x:c r="F46" s="88" t="n">
        <x:v>129</x:v>
      </x:c>
      <x:c r="G46" s="54" t="str">
        <x:v>2024-07-01 11:05:26</x:v>
      </x:c>
      <x:c r="H46" s="54" t="str">
        <x:v>2024-07-01 11:06:57</x:v>
      </x:c>
      <x:c r="I46" s="54" t="str">
        <x:v>traceability-cache</x:v>
      </x:c>
      <x:c r="J46" s="54" t="str">
        <x:v>cache</x:v>
      </x:c>
      <x:c r="K46" s="88" t="n">
        <x:v>1817</x:v>
      </x:c>
      <x:c r="L46" s="60" t="n">
        <x:v>90.8</x:v>
      </x:c>
      <x:c r="M46" s="60" t="n">
        <x:v>0.9953601388888892</x:v>
      </x:c>
      <x:c r="N46" s="60" t="n">
        <x:v>216.04</x:v>
      </x:c>
      <x:c r="O46" s="60" t="n">
        <x:v>19.846027585659723</x:v>
      </x:c>
      <x:c r="P46" s="60" t="n">
        <x:v>19.982272782761875</x:v>
      </x:c>
      <x:c r="Q46" s="60" t="n">
        <x:v>0.1362451971021546</x:v>
      </x:c>
      <x:c r="R46" s="63" t="n">
        <x:v>0.6865111746624913</x:v>
      </x:c>
    </x:row>
    <x:row r="47" ht="15.75" customHeight="1">
      <x:c r="A47" s="70" t="n">
        <x:v>3</x:v>
      </x:c>
      <x:c r="B47" s="54" t="str">
        <x:v>UP003_20240701_102344_R111</x:v>
      </x:c>
      <x:c r="C47" s="88" t="n">
        <x:v>20</x:v>
      </x:c>
      <x:c r="D47" s="54" t="str">
        <x:v>盎孟港-三官堂</x:v>
      </x:c>
      <x:c r="E47" s="88" t="n">
        <x:v>2</x:v>
      </x:c>
      <x:c r="F47" s="88" t="n">
        <x:v>130</x:v>
      </x:c>
      <x:c r="G47" s="54" t="str">
        <x:v>2024-07-01 11:07:26</x:v>
      </x:c>
      <x:c r="H47" s="54" t="str">
        <x:v>2024-07-01 11:09:43</x:v>
      </x:c>
      <x:c r="I47" s="54" t="str">
        <x:v>traceability-cache</x:v>
      </x:c>
      <x:c r="J47" s="54" t="str">
        <x:v>cache</x:v>
      </x:c>
      <x:c r="K47" s="88" t="n">
        <x:v>2751</x:v>
      </x:c>
      <x:c r="L47" s="60" t="n">
        <x:v>137.5</x:v>
      </x:c>
      <x:c r="M47" s="60" t="n">
        <x:v>1.878174305555561</x:v>
      </x:c>
      <x:c r="N47" s="60" t="n">
        <x:v>215.84</x:v>
      </x:c>
      <x:c r="O47" s="60" t="n">
        <x:v>16.75830206282639</x:v>
      </x:c>
      <x:c r="P47" s="60" t="n">
        <x:v>15.841595829402891</x:v>
      </x:c>
      <x:c r="Q47" s="60" t="n">
        <x:v>-0.9167062334234998</x:v>
      </x:c>
      <x:c r="R47" s="63" t="n">
        <x:v>-5.470161774067531</x:v>
      </x:c>
    </x:row>
    <x:row r="48" ht="15.75" customHeight="1">
      <x:c r="A48" s="70" t="n">
        <x:v>3</x:v>
      </x:c>
      <x:c r="B48" s="54" t="str">
        <x:v>UP003_20240701_102344_R111</x:v>
      </x:c>
      <x:c r="C48" s="88" t="n">
        <x:v>21</x:v>
      </x:c>
      <x:c r="D48" s="54" t="str">
        <x:v>三官堂-兴庄路</x:v>
      </x:c>
      <x:c r="E48" s="88" t="n">
        <x:v>2</x:v>
      </x:c>
      <x:c r="F48" s="88" t="n">
        <x:v>131</x:v>
      </x:c>
      <x:c r="G48" s="54" t="str">
        <x:v>2024-07-01 11:10:18</x:v>
      </x:c>
      <x:c r="H48" s="54" t="str">
        <x:v>2024-07-01 11:12:02</x:v>
      </x:c>
      <x:c r="I48" s="54" t="str">
        <x:v>traceability-cache</x:v>
      </x:c>
      <x:c r="J48" s="54" t="str">
        <x:v>cache</x:v>
      </x:c>
      <x:c r="K48" s="88" t="n">
        <x:v>2076</x:v>
      </x:c>
      <x:c r="L48" s="60" t="n">
        <x:v>103.75</x:v>
      </x:c>
      <x:c r="M48" s="60" t="n">
        <x:v>1.080530555555554</x:v>
      </x:c>
      <x:c r="N48" s="60" t="n">
        <x:v>215.64</x:v>
      </x:c>
      <x:c r="O48" s="60" t="n">
        <x:v>10.40400318413889</x:v>
      </x:c>
      <x:c r="P48" s="60" t="n">
        <x:v>10.437997007342608</x:v>
      </x:c>
      <x:c r="Q48" s="60" t="n">
        <x:v>0.0339938232037184</x:v>
      </x:c>
      <x:c r="R48" s="63" t="n">
        <x:v>0.3267379161854033</x:v>
      </x:c>
    </x:row>
    <x:row r="49" ht="15.75" customHeight="1">
      <x:c r="A49" s="70" t="n">
        <x:v>3</x:v>
      </x:c>
      <x:c r="B49" s="54" t="str">
        <x:v>UP003_20240701_102344_R111</x:v>
      </x:c>
      <x:c r="C49" s="88" t="n">
        <x:v>22</x:v>
      </x:c>
      <x:c r="D49" s="54" t="str">
        <x:v>兴庄路-兴海南路</x:v>
      </x:c>
      <x:c r="E49" s="88" t="n">
        <x:v>2</x:v>
      </x:c>
      <x:c r="F49" s="88" t="n">
        <x:v>132</x:v>
      </x:c>
      <x:c r="G49" s="54" t="str">
        <x:v>2024-07-01 11:12:33</x:v>
      </x:c>
      <x:c r="H49" s="54" t="str">
        <x:v>2024-07-01 11:14:05</x:v>
      </x:c>
      <x:c r="I49" s="54" t="str">
        <x:v>traceability-cache</x:v>
      </x:c>
      <x:c r="J49" s="54" t="str">
        <x:v>cache</x:v>
      </x:c>
      <x:c r="K49" s="88" t="n">
        <x:v>1845</x:v>
      </x:c>
      <x:c r="L49" s="60" t="n">
        <x:v>92.2</x:v>
      </x:c>
      <x:c r="M49" s="60" t="n">
        <x:v>0.9593143055555564</x:v>
      </x:c>
      <x:c r="N49" s="60" t="n">
        <x:v>215.54</x:v>
      </x:c>
      <x:c r="O49" s="60" t="n">
        <x:v>11.00242271470139</x:v>
      </x:c>
      <x:c r="P49" s="60" t="n">
        <x:v>11.232359981048749</x:v>
      </x:c>
      <x:c r="Q49" s="60" t="n">
        <x:v>0.2299372663473568</x:v>
      </x:c>
      <x:c r="R49" s="63" t="n">
        <x:v>2.089878495943586</x:v>
      </x:c>
    </x:row>
    <x:row r="50" ht="15.75" customHeight="1">
      <x:c r="A50" s="70" t="n">
        <x:v>3</x:v>
      </x:c>
      <x:c r="B50" s="54" t="str">
        <x:v>UP003_20240701_102344_R111</x:v>
      </x:c>
      <x:c r="C50" s="88" t="n">
        <x:v>23</x:v>
      </x:c>
      <x:c r="D50" s="54" t="str">
        <x:v>兴海南路-梅堰</x:v>
      </x:c>
      <x:c r="E50" s="88" t="n">
        <x:v>2</x:v>
      </x:c>
      <x:c r="F50" s="88" t="n">
        <x:v>133</x:v>
      </x:c>
      <x:c r="G50" s="54" t="str">
        <x:v>2024-07-01 11:14:36</x:v>
      </x:c>
      <x:c r="H50" s="54" t="str">
        <x:v>2024-07-01 11:15:57</x:v>
      </x:c>
      <x:c r="I50" s="54" t="str">
        <x:v>traceability-cache</x:v>
      </x:c>
      <x:c r="J50" s="54" t="str">
        <x:v>cache</x:v>
      </x:c>
      <x:c r="K50" s="88" t="n">
        <x:v>1618</x:v>
      </x:c>
      <x:c r="L50" s="60" t="n">
        <x:v>80.85</x:v>
      </x:c>
      <x:c r="M50" s="60" t="n">
        <x:v>0.833622083333333</x:v>
      </x:c>
      <x:c r="N50" s="60" t="n">
        <x:v>215.34</x:v>
      </x:c>
      <x:c r="O50" s="60" t="n">
        <x:v>12.168125562451388</x:v>
      </x:c>
      <x:c r="P50" s="60" t="n">
        <x:v>13.158803612707793</x:v>
      </x:c>
      <x:c r="Q50" s="60" t="n">
        <x:v>0.9906780502564017</x:v>
      </x:c>
      <x:c r="R50" s="63" t="n">
        <x:v>8.141583066117043</x:v>
      </x:c>
    </x:row>
    <x:row r="51" ht="15.75" customHeight="1">
      <x:c r="A51" s="70" t="n">
        <x:v>3</x:v>
      </x:c>
      <x:c r="B51" s="54" t="str">
        <x:v>UP003_20240701_102344_R111</x:v>
      </x:c>
      <x:c r="C51" s="88" t="n">
        <x:v>24</x:v>
      </x:c>
      <x:c r="D51" s="54" t="str">
        <x:v>梅堰-永茂路</x:v>
      </x:c>
      <x:c r="E51" s="88" t="n">
        <x:v>1</x:v>
      </x:c>
      <x:c r="F51" s="88" t="n">
        <x:v>134</x:v>
      </x:c>
      <x:c r="G51" s="54" t="str">
        <x:v>2024-07-01 11:16:33</x:v>
      </x:c>
      <x:c r="H51" s="54" t="str">
        <x:v>2024-07-01 11:22:01</x:v>
      </x:c>
      <x:c r="I51" s="54" t="str">
        <x:v>traceability-cache</x:v>
      </x:c>
      <x:c r="J51" s="54" t="str">
        <x:v>cache</x:v>
      </x:c>
      <x:c r="K51" s="88" t="n">
        <x:v>6560</x:v>
      </x:c>
      <x:c r="L51" s="60" t="n">
        <x:v>327.95</x:v>
      </x:c>
      <x:c r="M51" s="60" t="n">
        <x:v>3.675912777777819</x:v>
      </x:c>
      <x:c r="N51" s="60" t="n">
        <x:v>215.24</x:v>
      </x:c>
      <x:c r="O51" s="60" t="n">
        <x:v>25.988419417277782</x:v>
      </x:c>
      <x:c r="P51" s="60" t="n">
        <x:v>25.57199137074907</x:v>
      </x:c>
      <x:c r="Q51" s="60" t="n">
        <x:v>-0.416428046528712</x:v>
      </x:c>
      <x:c r="R51" s="63" t="n">
        <x:v>-1.602360035223457</x:v>
      </x:c>
    </x:row>
    <x:row r="52" ht="15.75" customHeight="1">
      <x:c r="A52" s="70" t="n">
        <x:v>3</x:v>
      </x:c>
      <x:c r="B52" s="54" t="str">
        <x:v>UP003_20240701_102344_R111</x:v>
      </x:c>
      <x:c r="C52" s="88" t="n">
        <x:v>25</x:v>
      </x:c>
      <x:c r="D52" s="54" t="str">
        <x:v>永茂路-镇海大道</x:v>
      </x:c>
      <x:c r="E52" s="88" t="n">
        <x:v>2</x:v>
      </x:c>
      <x:c r="F52" s="88" t="n">
        <x:v>135</x:v>
      </x:c>
      <x:c r="G52" s="54" t="str">
        <x:v>2024-07-01 11:22:29</x:v>
      </x:c>
      <x:c r="H52" s="54" t="str">
        <x:v>2024-07-01 11:24:50</x:v>
      </x:c>
      <x:c r="I52" s="54" t="str">
        <x:v>traceability-cache</x:v>
      </x:c>
      <x:c r="J52" s="54" t="str">
        <x:v>cache</x:v>
      </x:c>
      <x:c r="K52" s="88" t="n">
        <x:v>2833</x:v>
      </x:c>
      <x:c r="L52" s="60" t="n">
        <x:v>141.6</x:v>
      </x:c>
      <x:c r="M52" s="60" t="n">
        <x:v>2.132380972222225</x:v>
      </x:c>
      <x:c r="N52" s="60" t="n">
        <x:v>215.34</x:v>
      </x:c>
      <x:c r="O52" s="60" t="n">
        <x:v>17.812625131368055</x:v>
      </x:c>
      <x:c r="P52" s="60" t="n">
        <x:v>17.414038216698454</x:v>
      </x:c>
      <x:c r="Q52" s="60" t="n">
        <x:v>-0.3985869146696023</x:v>
      </x:c>
      <x:c r="R52" s="63" t="n">
        <x:v>-2.2376652050443155</x:v>
      </x:c>
    </x:row>
    <x:row r="53" ht="15.75" customHeight="1">
      <x:c r="A53" s="70" t="n">
        <x:v>3</x:v>
      </x:c>
      <x:c r="B53" s="54" t="str">
        <x:v>UP003_20240701_102344_R111</x:v>
      </x:c>
      <x:c r="C53" s="88" t="n">
        <x:v>26</x:v>
      </x:c>
      <x:c r="D53" s="54" t="str">
        <x:v>镇海大道-骆驼桥</x:v>
      </x:c>
      <x:c r="E53" s="88" t="n">
        <x:v>2</x:v>
      </x:c>
      <x:c r="F53" s="88" t="n">
        <x:v>136</x:v>
      </x:c>
      <x:c r="G53" s="54" t="str">
        <x:v>2024-07-01 11:25:18</x:v>
      </x:c>
      <x:c r="H53" s="54" t="str">
        <x:v>2024-07-01 11:27:15</x:v>
      </x:c>
      <x:c r="I53" s="54" t="str">
        <x:v>traceability-cache</x:v>
      </x:c>
      <x:c r="J53" s="54" t="str">
        <x:v>cache</x:v>
      </x:c>
      <x:c r="K53" s="88" t="n">
        <x:v>2339</x:v>
      </x:c>
      <x:c r="L53" s="60" t="n">
        <x:v>116.9</x:v>
      </x:c>
      <x:c r="M53" s="60" t="n">
        <x:v>1.5964000000000031</x:v>
      </x:c>
      <x:c r="N53" s="60" t="n">
        <x:v>215.24</x:v>
      </x:c>
      <x:c r="O53" s="60" t="n">
        <x:v>20.30483930567361</x:v>
      </x:c>
      <x:c r="P53" s="60" t="n">
        <x:v>18.705283455269655</x:v>
      </x:c>
      <x:c r="Q53" s="60" t="n">
        <x:v>-1.5995558504039544</x:v>
      </x:c>
      <x:c r="R53" s="63" t="n">
        <x:v>-7.877707507672834</x:v>
      </x:c>
    </x:row>
    <x:row r="54" ht="15.75" customHeight="1">
      <x:c r="A54" s="70" t="n">
        <x:v>4</x:v>
      </x:c>
      <x:c r="B54" s="54" t="str">
        <x:v>UP004_20240701_123753_R165</x:v>
      </x:c>
      <x:c r="C54" s="88" t="n">
        <x:v>1</x:v>
      </x:c>
      <x:c r="D54" s="54" t="str">
        <x:v>布政-张家潭</x:v>
      </x:c>
      <x:c r="E54" s="88" t="n">
        <x:v>3</x:v>
      </x:c>
      <x:c r="F54" s="88" t="n">
        <x:v>165</x:v>
      </x:c>
      <x:c r="G54" s="54" t="str">
        <x:v>2024-07-01 12:37:53</x:v>
      </x:c>
      <x:c r="H54" s="54" t="str">
        <x:v>2024-07-01 12:39:50</x:v>
      </x:c>
      <x:c r="I54" s="54" t="str">
        <x:v>traceability-cache</x:v>
      </x:c>
      <x:c r="J54" s="54" t="str">
        <x:v>cache</x:v>
      </x:c>
      <x:c r="K54" s="88" t="n">
        <x:v>2352</x:v>
      </x:c>
      <x:c r="L54" s="60" t="n">
        <x:v>117.55</x:v>
      </x:c>
      <x:c r="M54" s="60" t="n">
        <x:v>1.428844305555559</x:v>
      </x:c>
      <x:c r="N54" s="60" t="n">
        <x:v>215.34</x:v>
      </x:c>
      <x:c r="O54" s="60" t="n">
        <x:v>14.20810524457639</x:v>
      </x:c>
      <x:c r="P54" s="60" t="n">
        <x:v>14.297971940496518</x:v>
      </x:c>
      <x:c r="Q54" s="60" t="n">
        <x:v>0.0898666959201291</x:v>
      </x:c>
      <x:c r="R54" s="63" t="n">
        <x:v>0.6325030281883197</x:v>
      </x:c>
    </x:row>
    <x:row r="55" ht="15.75" customHeight="1">
      <x:c r="A55" s="70" t="n">
        <x:v>4</x:v>
      </x:c>
      <x:c r="B55" s="54" t="str">
        <x:v>UP004_20240701_123753_R165</x:v>
      </x:c>
      <x:c r="C55" s="88" t="n">
        <x:v>2</x:v>
      </x:c>
      <x:c r="D55" s="54" t="str">
        <x:v>张家潭-同德路</x:v>
      </x:c>
      <x:c r="E55" s="88" t="n">
        <x:v>3</x:v>
      </x:c>
      <x:c r="F55" s="88" t="n">
        <x:v>166</x:v>
      </x:c>
      <x:c r="G55" s="54" t="str">
        <x:v>2024-07-01 12:40:19</x:v>
      </x:c>
      <x:c r="H55" s="54" t="str">
        <x:v>2024-07-01 12:42:50</x:v>
      </x:c>
      <x:c r="I55" s="54" t="str">
        <x:v>traceability-cache</x:v>
      </x:c>
      <x:c r="J55" s="54" t="str">
        <x:v>cache</x:v>
      </x:c>
      <x:c r="K55" s="88" t="n">
        <x:v>3009</x:v>
      </x:c>
      <x:c r="L55" s="60" t="n">
        <x:v>150.4</x:v>
      </x:c>
      <x:c r="M55" s="60" t="n">
        <x:v>2.020853750000007</x:v>
      </x:c>
      <x:c r="N55" s="60" t="n">
        <x:v>215.24</x:v>
      </x:c>
      <x:c r="O55" s="60" t="n">
        <x:v>17.933609435388888</x:v>
      </x:c>
      <x:c r="P55" s="60" t="n">
        <x:v>17.238617350317</x:v>
      </x:c>
      <x:c r="Q55" s="60" t="n">
        <x:v>-0.6949920850718881</x:v>
      </x:c>
      <x:c r="R55" s="63" t="n">
        <x:v>-3.875360883573393</x:v>
      </x:c>
    </x:row>
    <x:row r="56" ht="15.75" customHeight="1">
      <x:c r="A56" s="70" t="n">
        <x:v>4</x:v>
      </x:c>
      <x:c r="B56" s="54" t="str">
        <x:v>UP004_20240701_123753_R165</x:v>
      </x:c>
      <x:c r="C56" s="88" t="n">
        <x:v>3</x:v>
      </x:c>
      <x:c r="D56" s="54" t="str">
        <x:v>同德路-石碶</x:v>
      </x:c>
      <x:c r="E56" s="88" t="n">
        <x:v>3</x:v>
      </x:c>
      <x:c r="F56" s="88" t="n">
        <x:v>167</x:v>
      </x:c>
      <x:c r="G56" s="54" t="str">
        <x:v>2024-07-01 12:43:19</x:v>
      </x:c>
      <x:c r="H56" s="54" t="str">
        <x:v>2024-07-01 12:45:09</x:v>
      </x:c>
      <x:c r="I56" s="54" t="str">
        <x:v>traceability-cache</x:v>
      </x:c>
      <x:c r="J56" s="54" t="str">
        <x:v>cache</x:v>
      </x:c>
      <x:c r="K56" s="88" t="n">
        <x:v>2208</x:v>
      </x:c>
      <x:c r="L56" s="60" t="n">
        <x:v>110.35</x:v>
      </x:c>
      <x:c r="M56" s="60" t="n">
        <x:v>1.330306666666664</x:v>
      </x:c>
      <x:c r="N56" s="60" t="n">
        <x:v>215.24</x:v>
      </x:c>
      <x:c r="O56" s="60" t="n">
        <x:v>12.148842407770832</x:v>
      </x:c>
      <x:c r="P56" s="60" t="n">
        <x:v>11.817085667064305</x:v>
      </x:c>
      <x:c r="Q56" s="60" t="n">
        <x:v>-0.3317567407065308</x:v>
      </x:c>
      <x:c r="R56" s="63" t="n">
        <x:v>-2.730768328135752</x:v>
      </x:c>
    </x:row>
    <x:row r="57" ht="15.75" customHeight="1">
      <x:c r="A57" s="70" t="n">
        <x:v>4</x:v>
      </x:c>
      <x:c r="B57" s="54" t="str">
        <x:v>UP004_20240701_123753_R165</x:v>
      </x:c>
      <x:c r="C57" s="88" t="n">
        <x:v>4</x:v>
      </x:c>
      <x:c r="D57" s="54" t="str">
        <x:v>石碶-雅渡</x:v>
      </x:c>
      <x:c r="E57" s="88" t="n">
        <x:v>3</x:v>
      </x:c>
      <x:c r="F57" s="88" t="n">
        <x:v>168</x:v>
      </x:c>
      <x:c r="G57" s="54" t="str">
        <x:v>2024-07-01 12:45:44</x:v>
      </x:c>
      <x:c r="H57" s="54" t="str">
        <x:v>2024-07-01 12:47:08</x:v>
      </x:c>
      <x:c r="I57" s="54" t="str">
        <x:v>traceability-cache</x:v>
      </x:c>
      <x:c r="J57" s="54" t="str">
        <x:v>cache</x:v>
      </x:c>
      <x:c r="K57" s="88" t="n">
        <x:v>1676</x:v>
      </x:c>
      <x:c r="L57" s="60" t="n">
        <x:v>83.75</x:v>
      </x:c>
      <x:c r="M57" s="60" t="n">
        <x:v>0.8273476388888887</x:v>
      </x:c>
      <x:c r="N57" s="60" t="n">
        <x:v>215.34</x:v>
      </x:c>
      <x:c r="O57" s="60" t="n">
        <x:v>13.098342913930557</x:v>
      </x:c>
      <x:c r="P57" s="60" t="n">
        <x:v>13.280687062042333</x:v>
      </x:c>
      <x:c r="Q57" s="60" t="n">
        <x:v>0.182344148111777</x:v>
      </x:c>
      <x:c r="R57" s="63" t="n">
        <x:v>1.3921161578221282</x:v>
      </x:c>
    </x:row>
    <x:row r="58" ht="15.75" customHeight="1">
      <x:c r="A58" s="70" t="n">
        <x:v>4</x:v>
      </x:c>
      <x:c r="B58" s="54" t="str">
        <x:v>UP004_20240701_123753_R165</x:v>
      </x:c>
      <x:c r="C58" s="88" t="n">
        <x:v>5</x:v>
      </x:c>
      <x:c r="D58" s="54" t="str">
        <x:v>雅渡-庙堰</x:v>
      </x:c>
      <x:c r="E58" s="88" t="n">
        <x:v>3</x:v>
      </x:c>
      <x:c r="F58" s="88" t="n">
        <x:v>169</x:v>
      </x:c>
      <x:c r="G58" s="54" t="str">
        <x:v>2024-07-01 12:47:37</x:v>
      </x:c>
      <x:c r="H58" s="54" t="str">
        <x:v>2024-07-01 12:49:49</x:v>
      </x:c>
      <x:c r="I58" s="54" t="str">
        <x:v>traceability-cache</x:v>
      </x:c>
      <x:c r="J58" s="54" t="str">
        <x:v>cache</x:v>
      </x:c>
      <x:c r="K58" s="88" t="n">
        <x:v>2642</x:v>
      </x:c>
      <x:c r="L58" s="60" t="n">
        <x:v>132.05</x:v>
      </x:c>
      <x:c r="M58" s="60" t="n">
        <x:v>1.86024777777778</x:v>
      </x:c>
      <x:c r="N58" s="60" t="n">
        <x:v>215.44</x:v>
      </x:c>
      <x:c r="O58" s="60" t="n">
        <x:v>20.638427340916667</x:v>
      </x:c>
      <x:c r="P58" s="60" t="n">
        <x:v>20.08635777716694</x:v>
      </x:c>
      <x:c r="Q58" s="60" t="n">
        <x:v>-0.5520695637497302</x:v>
      </x:c>
      <x:c r="R58" s="63" t="n">
        <x:v>-2.6749594561172105</x:v>
      </x:c>
    </x:row>
    <x:row r="59" ht="15.75" customHeight="1">
      <x:c r="A59" s="70" t="n">
        <x:v>4</x:v>
      </x:c>
      <x:c r="B59" s="54" t="str">
        <x:v>UP004_20240701_123753_R165</x:v>
      </x:c>
      <x:c r="C59" s="88" t="n">
        <x:v>6</x:v>
      </x:c>
      <x:c r="D59" s="54" t="str">
        <x:v>庙堰-钟公庙</x:v>
      </x:c>
      <x:c r="E59" s="88" t="n">
        <x:v>3</x:v>
      </x:c>
      <x:c r="F59" s="88" t="n">
        <x:v>170</x:v>
      </x:c>
      <x:c r="G59" s="54" t="str">
        <x:v>2024-07-01 12:50:19</x:v>
      </x:c>
      <x:c r="H59" s="54" t="str">
        <x:v>2024-07-01 12:51:54</x:v>
      </x:c>
      <x:c r="I59" s="54" t="str">
        <x:v>traceability-cache</x:v>
      </x:c>
      <x:c r="J59" s="54" t="str">
        <x:v>cache</x:v>
      </x:c>
      <x:c r="K59" s="88" t="n">
        <x:v>1910</x:v>
      </x:c>
      <x:c r="L59" s="60" t="n">
        <x:v>95.45</x:v>
      </x:c>
      <x:c r="M59" s="60" t="n">
        <x:v>1.08696486111111</x:v>
      </x:c>
      <x:c r="N59" s="60" t="n">
        <x:v>215.64</x:v>
      </x:c>
      <x:c r="O59" s="60" t="n">
        <x:v>12.912192101145836</x:v>
      </x:c>
      <x:c r="P59" s="60" t="n">
        <x:v>12.95328082913238</x:v>
      </x:c>
      <x:c r="Q59" s="60" t="n">
        <x:v>0.0410887279865437</x:v>
      </x:c>
      <x:c r="R59" s="63" t="n">
        <x:v>0.3182165171078697</x:v>
      </x:c>
    </x:row>
    <x:row r="60" ht="15.75" customHeight="1">
      <x:c r="A60" s="70" t="n">
        <x:v>4</x:v>
      </x:c>
      <x:c r="B60" s="54" t="str">
        <x:v>UP004_20240701_123753_R165</x:v>
      </x:c>
      <x:c r="C60" s="88" t="n">
        <x:v>7</x:v>
      </x:c>
      <x:c r="D60" s="54" t="str">
        <x:v>钟公庙-鄞州区政府</x:v>
      </x:c>
      <x:c r="E60" s="88" t="n">
        <x:v>3</x:v>
      </x:c>
      <x:c r="F60" s="88" t="n">
        <x:v>171</x:v>
      </x:c>
      <x:c r="G60" s="54" t="str">
        <x:v>2024-07-01 12:52:24</x:v>
      </x:c>
      <x:c r="H60" s="54" t="str">
        <x:v>2024-07-01 12:53:55</x:v>
      </x:c>
      <x:c r="I60" s="54" t="str">
        <x:v>traceability-cache</x:v>
      </x:c>
      <x:c r="J60" s="54" t="str">
        <x:v>cache</x:v>
      </x:c>
      <x:c r="K60" s="88" t="n">
        <x:v>1828</x:v>
      </x:c>
      <x:c r="L60" s="60" t="n">
        <x:v>91.35</x:v>
      </x:c>
      <x:c r="M60" s="60" t="n">
        <x:v>0.984652361111114</x:v>
      </x:c>
      <x:c r="N60" s="60" t="n">
        <x:v>215.54</x:v>
      </x:c>
      <x:c r="O60" s="60" t="n">
        <x:v>10.123191110152778</x:v>
      </x:c>
      <x:c r="P60" s="60" t="n">
        <x:v>10.801601680630784</x:v>
      </x:c>
      <x:c r="Q60" s="60" t="n">
        <x:v>0.6784105704780049</x:v>
      </x:c>
      <x:c r="R60" s="63" t="n">
        <x:v>6.701548583801915</x:v>
      </x:c>
    </x:row>
    <x:row r="61" ht="15.75" customHeight="1">
      <x:c r="A61" s="70" t="n">
        <x:v>4</x:v>
      </x:c>
      <x:c r="B61" s="54" t="str">
        <x:v>UP004_20240701_123753_R165</x:v>
      </x:c>
      <x:c r="C61" s="88" t="n">
        <x:v>8</x:v>
      </x:c>
      <x:c r="D61" s="54" t="str">
        <x:v>鄞州区政府-钱湖南路</x:v>
      </x:c>
      <x:c r="E61" s="88" t="n">
        <x:v>3</x:v>
      </x:c>
      <x:c r="F61" s="88" t="n">
        <x:v>172</x:v>
      </x:c>
      <x:c r="G61" s="54" t="str">
        <x:v>2024-07-01 12:54:35</x:v>
      </x:c>
      <x:c r="H61" s="54" t="str">
        <x:v>2024-07-01 12:56:47</x:v>
      </x:c>
      <x:c r="I61" s="54" t="str">
        <x:v>traceability-cache</x:v>
      </x:c>
      <x:c r="J61" s="54" t="str">
        <x:v>cache</x:v>
      </x:c>
      <x:c r="K61" s="88" t="n">
        <x:v>2640</x:v>
      </x:c>
      <x:c r="L61" s="60" t="n">
        <x:v>131.95</x:v>
      </x:c>
      <x:c r="M61" s="60" t="n">
        <x:v>1.811756805555548</x:v>
      </x:c>
      <x:c r="N61" s="60" t="n">
        <x:v>215.74</x:v>
      </x:c>
      <x:c r="O61" s="60" t="n">
        <x:v>16.37913986776389</x:v>
      </x:c>
      <x:c r="P61" s="60" t="n">
        <x:v>15.14069209552571</x:v>
      </x:c>
      <x:c r="Q61" s="60" t="n">
        <x:v>-1.238447772238178</x:v>
      </x:c>
      <x:c r="R61" s="63" t="n">
        <x:v>-7.561128253600128</x:v>
      </x:c>
    </x:row>
    <x:row r="62" ht="15.75" customHeight="1">
      <x:c r="A62" s="70" t="n">
        <x:v>4</x:v>
      </x:c>
      <x:c r="B62" s="54" t="str">
        <x:v>UP004_20240701_123753_R165</x:v>
      </x:c>
      <x:c r="C62" s="88" t="n">
        <x:v>9</x:v>
      </x:c>
      <x:c r="D62" s="54" t="str">
        <x:v>钱湖南路-南高教园区</x:v>
      </x:c>
      <x:c r="E62" s="88" t="n">
        <x:v>3</x:v>
      </x:c>
      <x:c r="F62" s="88" t="n">
        <x:v>173</x:v>
      </x:c>
      <x:c r="G62" s="54" t="str">
        <x:v>2024-07-01 12:57:16</x:v>
      </x:c>
      <x:c r="H62" s="54" t="str">
        <x:v>2024-07-01 12:58:57</x:v>
      </x:c>
      <x:c r="I62" s="54" t="str">
        <x:v>traceability-cache</x:v>
      </x:c>
      <x:c r="J62" s="54" t="str">
        <x:v>cache</x:v>
      </x:c>
      <x:c r="K62" s="88" t="n">
        <x:v>2009</x:v>
      </x:c>
      <x:c r="L62" s="60" t="n">
        <x:v>100.4</x:v>
      </x:c>
      <x:c r="M62" s="60" t="n">
        <x:v>1.1688149999999988</x:v>
      </x:c>
      <x:c r="N62" s="60" t="n">
        <x:v>215.74</x:v>
      </x:c>
      <x:c r="O62" s="60" t="n">
        <x:v>13.66139782951389</x:v>
      </x:c>
      <x:c r="P62" s="60" t="n">
        <x:v>13.625758520008096</x:v>
      </x:c>
      <x:c r="Q62" s="60" t="n">
        <x:v>-0.0356393095057956</x:v>
      </x:c>
      <x:c r="R62" s="63" t="n">
        <x:v>-0.2608760095456773</x:v>
      </x:c>
    </x:row>
    <x:row r="63" ht="15.75" customHeight="1">
      <x:c r="A63" s="70" t="n">
        <x:v>4</x:v>
      </x:c>
      <x:c r="B63" s="54" t="str">
        <x:v>UP004_20240701_123753_R165</x:v>
      </x:c>
      <x:c r="C63" s="88" t="n">
        <x:v>10</x:v>
      </x:c>
      <x:c r="D63" s="54" t="str">
        <x:v>南高教园区-下应路</x:v>
      </x:c>
      <x:c r="E63" s="88" t="n">
        <x:v>3</x:v>
      </x:c>
      <x:c r="F63" s="88" t="n">
        <x:v>174</x:v>
      </x:c>
      <x:c r="G63" s="54" t="str">
        <x:v>2024-07-01 12:59:31</x:v>
      </x:c>
      <x:c r="H63" s="54" t="str">
        <x:v>2024-07-01 13:01:26</x:v>
      </x:c>
      <x:c r="I63" s="54" t="str">
        <x:v>traceability-cache</x:v>
      </x:c>
      <x:c r="J63" s="54" t="str">
        <x:v>cache</x:v>
      </x:c>
      <x:c r="K63" s="88" t="n">
        <x:v>2301</x:v>
      </x:c>
      <x:c r="L63" s="60" t="n">
        <x:v>115</x:v>
      </x:c>
      <x:c r="M63" s="60" t="n">
        <x:v>1.452944166666663</x:v>
      </x:c>
      <x:c r="N63" s="60" t="n">
        <x:v>215.84</x:v>
      </x:c>
      <x:c r="O63" s="60" t="n">
        <x:v>18.71901139676389</x:v>
      </x:c>
      <x:c r="P63" s="60" t="n">
        <x:v>17.732569641625318</x:v>
      </x:c>
      <x:c r="Q63" s="60" t="n">
        <x:v>-0.9864417551385704</x:v>
      </x:c>
      <x:c r="R63" s="63" t="n">
        <x:v>-5.269732114747816</x:v>
      </x:c>
    </x:row>
    <x:row r="64" ht="15.75" customHeight="1">
      <x:c r="A64" s="70" t="n">
        <x:v>4</x:v>
      </x:c>
      <x:c r="B64" s="54" t="str">
        <x:v>UP004_20240701_123753_R165</x:v>
      </x:c>
      <x:c r="C64" s="88" t="n">
        <x:v>11</x:v>
      </x:c>
      <x:c r="D64" s="54" t="str">
        <x:v>下应路-大洋江</x:v>
      </x:c>
      <x:c r="E64" s="88" t="n">
        <x:v>3</x:v>
      </x:c>
      <x:c r="F64" s="88" t="n">
        <x:v>175</x:v>
      </x:c>
      <x:c r="G64" s="54" t="str">
        <x:v>2024-07-01 13:01:56</x:v>
      </x:c>
      <x:c r="H64" s="54" t="str">
        <x:v>2024-07-01 13:03:41</x:v>
      </x:c>
      <x:c r="I64" s="54" t="str">
        <x:v>traceability-cache</x:v>
      </x:c>
      <x:c r="J64" s="54" t="str">
        <x:v>cache</x:v>
      </x:c>
      <x:c r="K64" s="88" t="n">
        <x:v>2104</x:v>
      </x:c>
      <x:c r="L64" s="60" t="n">
        <x:v>105.15</x:v>
      </x:c>
      <x:c r="M64" s="60" t="n">
        <x:v>1.213735416666668</x:v>
      </x:c>
      <x:c r="N64" s="60" t="n">
        <x:v>215.74</x:v>
      </x:c>
      <x:c r="O64" s="60" t="n">
        <x:v>11.223551142013893</x:v>
      </x:c>
      <x:c r="P64" s="60" t="n">
        <x:v>11.008064030657597</x:v>
      </x:c>
      <x:c r="Q64" s="60" t="n">
        <x:v>-0.2154871113562931</x:v>
      </x:c>
      <x:c r="R64" s="63" t="n">
        <x:v>-1.9199548220495508</x:v>
      </x:c>
    </x:row>
    <x:row r="65" ht="15.75" customHeight="1">
      <x:c r="A65" s="70" t="n">
        <x:v>4</x:v>
      </x:c>
      <x:c r="B65" s="54" t="str">
        <x:v>UP004_20240701_123753_R165</x:v>
      </x:c>
      <x:c r="C65" s="88" t="n">
        <x:v>12</x:v>
      </x:c>
      <x:c r="D65" s="54" t="str">
        <x:v>大洋江-泗港</x:v>
      </x:c>
      <x:c r="E65" s="88" t="n">
        <x:v>3</x:v>
      </x:c>
      <x:c r="F65" s="88" t="n">
        <x:v>176</x:v>
      </x:c>
      <x:c r="G65" s="54" t="str">
        <x:v>2024-07-01 13:04:12</x:v>
      </x:c>
      <x:c r="H65" s="54" t="str">
        <x:v>2024-07-01 13:05:43</x:v>
      </x:c>
      <x:c r="I65" s="54" t="str">
        <x:v>traceability-cache</x:v>
      </x:c>
      <x:c r="J65" s="54" t="str">
        <x:v>cache</x:v>
      </x:c>
      <x:c r="K65" s="88" t="n">
        <x:v>1831</x:v>
      </x:c>
      <x:c r="L65" s="60" t="n">
        <x:v>91.5</x:v>
      </x:c>
      <x:c r="M65" s="60" t="n">
        <x:v>0.9580855555555572</x:v>
      </x:c>
      <x:c r="N65" s="60" t="n">
        <x:v>215.54</x:v>
      </x:c>
      <x:c r="O65" s="60" t="n">
        <x:v>10.679370751819446</x:v>
      </x:c>
      <x:c r="P65" s="60" t="n">
        <x:v>10.837207772119775</x:v>
      </x:c>
      <x:c r="Q65" s="60" t="n">
        <x:v>0.1578370203003305</x:v>
      </x:c>
      <x:c r="R65" s="63" t="n">
        <x:v>1.4779618010119169</x:v>
      </x:c>
    </x:row>
    <x:row r="66" ht="15.75" customHeight="1">
      <x:c r="A66" s="70" t="n">
        <x:v>4</x:v>
      </x:c>
      <x:c r="B66" s="54" t="str">
        <x:v>UP004_20240701_123753_R165</x:v>
      </x:c>
      <x:c r="C66" s="88" t="n">
        <x:v>13</x:v>
      </x:c>
      <x:c r="D66" s="54" t="str">
        <x:v>泗港-曹隘</x:v>
      </x:c>
      <x:c r="E66" s="88" t="n">
        <x:v>3</x:v>
      </x:c>
      <x:c r="F66" s="88" t="n">
        <x:v>177</x:v>
      </x:c>
      <x:c r="G66" s="54" t="str">
        <x:v>2024-07-01 13:06:13</x:v>
      </x:c>
      <x:c r="H66" s="54" t="str">
        <x:v>2024-07-01 13:08:28</x:v>
      </x:c>
      <x:c r="I66" s="54" t="str">
        <x:v>traceability-cache</x:v>
      </x:c>
      <x:c r="J66" s="54" t="str">
        <x:v>cache</x:v>
      </x:c>
      <x:c r="K66" s="88" t="n">
        <x:v>2691</x:v>
      </x:c>
      <x:c r="L66" s="60" t="n">
        <x:v>134.5</x:v>
      </x:c>
      <x:c r="M66" s="60" t="n">
        <x:v>1.799612500000007</x:v>
      </x:c>
      <x:c r="N66" s="60" t="n">
        <x:v>215.54</x:v>
      </x:c>
      <x:c r="O66" s="60" t="n">
        <x:v>23.30587243344445</x:v>
      </x:c>
      <x:c r="P66" s="60" t="n">
        <x:v>23.729082049806728</x:v>
      </x:c>
      <x:c r="Q66" s="60" t="n">
        <x:v>0.4232096163622773</x:v>
      </x:c>
      <x:c r="R66" s="63" t="n">
        <x:v>1.8158926149229329</x:v>
      </x:c>
    </x:row>
    <x:row r="67" ht="15.75" customHeight="1">
      <x:c r="A67" s="70" t="n">
        <x:v>4</x:v>
      </x:c>
      <x:c r="B67" s="54" t="str">
        <x:v>UP004_20240701_123753_R165</x:v>
      </x:c>
      <x:c r="C67" s="88" t="n">
        <x:v>14</x:v>
      </x:c>
      <x:c r="D67" s="54" t="str">
        <x:v>曹隘-柳隘</x:v>
      </x:c>
      <x:c r="E67" s="88" t="n">
        <x:v>3</x:v>
      </x:c>
      <x:c r="F67" s="88" t="n">
        <x:v>178</x:v>
      </x:c>
      <x:c r="G67" s="54" t="str">
        <x:v>2024-07-01 13:08:59</x:v>
      </x:c>
      <x:c r="H67" s="54" t="str">
        <x:v>2024-07-01 13:10:45</x:v>
      </x:c>
      <x:c r="I67" s="54" t="str">
        <x:v>traceability-cache</x:v>
      </x:c>
      <x:c r="J67" s="54" t="str">
        <x:v>cache</x:v>
      </x:c>
      <x:c r="K67" s="88" t="n">
        <x:v>2135</x:v>
      </x:c>
      <x:c r="L67" s="60" t="n">
        <x:v>106.7</x:v>
      </x:c>
      <x:c r="M67" s="60" t="n">
        <x:v>1.307810972222219</x:v>
      </x:c>
      <x:c r="N67" s="60" t="n">
        <x:v>215.54</x:v>
      </x:c>
      <x:c r="O67" s="60" t="n">
        <x:v>20.87103257795139</x:v>
      </x:c>
      <x:c r="P67" s="60" t="n">
        <x:v>21.91701971855543</x:v>
      </x:c>
      <x:c r="Q67" s="60" t="n">
        <x:v>1.0459871406040435</x:v>
      </x:c>
      <x:c r="R67" s="63" t="n">
        <x:v>5.011669339776928</x:v>
      </x:c>
    </x:row>
    <x:row r="68" ht="15.75" customHeight="1">
      <x:c r="A68" s="70" t="n">
        <x:v>4</x:v>
      </x:c>
      <x:c r="B68" s="54" t="str">
        <x:v>UP004_20240701_123753_R165</x:v>
      </x:c>
      <x:c r="C68" s="88" t="n">
        <x:v>15</x:v>
      </x:c>
      <x:c r="D68" s="54" t="str">
        <x:v>柳隘-海晏北路</x:v>
      </x:c>
      <x:c r="E68" s="88" t="n">
        <x:v>3</x:v>
      </x:c>
      <x:c r="F68" s="88" t="n">
        <x:v>179</x:v>
      </x:c>
      <x:c r="G68" s="54" t="str">
        <x:v>2024-07-01 13:11:15</x:v>
      </x:c>
      <x:c r="H68" s="54" t="str">
        <x:v>2024-07-01 13:12:45</x:v>
      </x:c>
      <x:c r="I68" s="54" t="str">
        <x:v>traceability-cache</x:v>
      </x:c>
      <x:c r="J68" s="54" t="str">
        <x:v>cache</x:v>
      </x:c>
      <x:c r="K68" s="88" t="n">
        <x:v>1804</x:v>
      </x:c>
      <x:c r="L68" s="60" t="n">
        <x:v>90.15</x:v>
      </x:c>
      <x:c r="M68" s="60" t="n">
        <x:v>0.9810762499999992</x:v>
      </x:c>
      <x:c r="N68" s="60" t="n">
        <x:v>215.74</x:v>
      </x:c>
      <x:c r="O68" s="60" t="n">
        <x:v>14.348066955208331</x:v>
      </x:c>
      <x:c r="P68" s="60" t="n">
        <x:v>14.26402950384196</x:v>
      </x:c>
      <x:c r="Q68" s="60" t="n">
        <x:v>-0.0840374513663718</x:v>
      </x:c>
      <x:c r="R68" s="63" t="n">
        <x:v>-0.5857057374259492</x:v>
      </x:c>
    </x:row>
    <x:row r="69" ht="15.75" customHeight="1">
      <x:c r="A69" s="70" t="n">
        <x:v>4</x:v>
      </x:c>
      <x:c r="B69" s="54" t="str">
        <x:v>UP004_20240701_123753_R165</x:v>
      </x:c>
      <x:c r="C69" s="88" t="n">
        <x:v>16</x:v>
      </x:c>
      <x:c r="D69" s="54" t="str">
        <x:v>海晏北路-民安东路</x:v>
      </x:c>
      <x:c r="E69" s="88" t="n">
        <x:v>3</x:v>
      </x:c>
      <x:c r="F69" s="88" t="n">
        <x:v>180</x:v>
      </x:c>
      <x:c r="G69" s="54" t="str">
        <x:v>2024-07-01 13:13:30</x:v>
      </x:c>
      <x:c r="H69" s="54" t="str">
        <x:v>2024-07-01 13:14:53</x:v>
      </x:c>
      <x:c r="I69" s="54" t="str">
        <x:v>traceability-cache</x:v>
      </x:c>
      <x:c r="J69" s="54" t="str">
        <x:v>cache</x:v>
      </x:c>
      <x:c r="K69" s="88" t="n">
        <x:v>1668</x:v>
      </x:c>
      <x:c r="L69" s="60" t="n">
        <x:v>83.35</x:v>
      </x:c>
      <x:c r="M69" s="60" t="n">
        <x:v>0.8656919444444441</x:v>
      </x:c>
      <x:c r="N69" s="60" t="n">
        <x:v>217.44</x:v>
      </x:c>
      <x:c r="O69" s="60" t="n">
        <x:v>15.734549987333333</x:v>
      </x:c>
      <x:c r="P69" s="60" t="n">
        <x:v>16.091281851554605</x:v>
      </x:c>
      <x:c r="Q69" s="60" t="n">
        <x:v>0.3567318642212722</x:v>
      </x:c>
      <x:c r="R69" s="63" t="n">
        <x:v>2.2671882227864755</x:v>
      </x:c>
    </x:row>
    <x:row r="70" ht="15.75" customHeight="1">
      <x:c r="A70" s="70" t="n">
        <x:v>4</x:v>
      </x:c>
      <x:c r="B70" s="54" t="str">
        <x:v>UP004_20240701_123753_R165</x:v>
      </x:c>
      <x:c r="C70" s="88" t="n">
        <x:v>17</x:v>
      </x:c>
      <x:c r="D70" s="54" t="str">
        <x:v>民安东路-会展中心</x:v>
      </x:c>
      <x:c r="E70" s="88" t="n">
        <x:v>3</x:v>
      </x:c>
      <x:c r="F70" s="88" t="n">
        <x:v>181</x:v>
      </x:c>
      <x:c r="G70" s="54" t="str">
        <x:v>2024-07-01 13:15:23</x:v>
      </x:c>
      <x:c r="H70" s="54" t="str">
        <x:v>2024-07-01 13:16:40</x:v>
      </x:c>
      <x:c r="I70" s="54" t="str">
        <x:v>traceability-cache</x:v>
      </x:c>
      <x:c r="J70" s="54" t="str">
        <x:v>cache</x:v>
      </x:c>
      <x:c r="K70" s="88" t="n">
        <x:v>1536</x:v>
      </x:c>
      <x:c r="L70" s="60" t="n">
        <x:v>76.75</x:v>
      </x:c>
      <x:c r="M70" s="60" t="n">
        <x:v>0.7259876388888875</x:v>
      </x:c>
      <x:c r="N70" s="60" t="n">
        <x:v>217.34</x:v>
      </x:c>
      <x:c r="O70" s="60" t="n">
        <x:v>12.259463741020836</x:v>
      </x:c>
      <x:c r="P70" s="60" t="n">
        <x:v>12.777303555271189</x:v>
      </x:c>
      <x:c r="Q70" s="60" t="n">
        <x:v>0.517839814250352</x:v>
      </x:c>
      <x:c r="R70" s="63" t="n">
        <x:v>4.224000536969914</x:v>
      </x:c>
    </x:row>
    <x:row r="71" ht="15.75" customHeight="1">
      <x:c r="A71" s="70" t="n">
        <x:v>4</x:v>
      </x:c>
      <x:c r="B71" s="54" t="str">
        <x:v>UP004_20240701_123753_R165</x:v>
      </x:c>
      <x:c r="C71" s="88" t="n">
        <x:v>18</x:v>
      </x:c>
      <x:c r="D71" s="54" t="str">
        <x:v>会展中心-院士路</x:v>
      </x:c>
      <x:c r="E71" s="88" t="n">
        <x:v>3</x:v>
      </x:c>
      <x:c r="F71" s="88" t="n">
        <x:v>182</x:v>
      </x:c>
      <x:c r="G71" s="54" t="str">
        <x:v>2024-07-01 13:17:10</x:v>
      </x:c>
      <x:c r="H71" s="54" t="str">
        <x:v>2024-07-01 13:19:04</x:v>
      </x:c>
      <x:c r="I71" s="54" t="str">
        <x:v>traceability-cache</x:v>
      </x:c>
      <x:c r="J71" s="54" t="str">
        <x:v>cache</x:v>
      </x:c>
      <x:c r="K71" s="88" t="n">
        <x:v>2293</x:v>
      </x:c>
      <x:c r="L71" s="60" t="n">
        <x:v>114.6</x:v>
      </x:c>
      <x:c r="M71" s="60" t="n">
        <x:v>1.552385972222226</x:v>
      </x:c>
      <x:c r="N71" s="60" t="n">
        <x:v>216.84</x:v>
      </x:c>
      <x:c r="O71" s="60" t="n">
        <x:v>14.9927108585</x:v>
      </x:c>
      <x:c r="P71" s="60" t="n">
        <x:v>15.212298878490552</x:v>
      </x:c>
      <x:c r="Q71" s="60" t="n">
        <x:v>0.2195880199905532</x:v>
      </x:c>
      <x:c r="R71" s="63" t="n">
        <x:v>1.4646318605288084</x:v>
      </x:c>
    </x:row>
    <x:row r="72" ht="15.75" customHeight="1">
      <x:c r="A72" s="70" t="n">
        <x:v>4</x:v>
      </x:c>
      <x:c r="B72" s="54" t="str">
        <x:v>UP004_20240701_123753_R165</x:v>
      </x:c>
      <x:c r="C72" s="88" t="n">
        <x:v>19</x:v>
      </x:c>
      <x:c r="D72" s="54" t="str">
        <x:v>院士路-盎孟港</x:v>
      </x:c>
      <x:c r="E72" s="88" t="n">
        <x:v>3</x:v>
      </x:c>
      <x:c r="F72" s="88" t="n">
        <x:v>183</x:v>
      </x:c>
      <x:c r="G72" s="54" t="str">
        <x:v>2024-07-01 13:19:34</x:v>
      </x:c>
      <x:c r="H72" s="54" t="str">
        <x:v>2024-07-01 13:21:04</x:v>
      </x:c>
      <x:c r="I72" s="54" t="str">
        <x:v>traceability-cache</x:v>
      </x:c>
      <x:c r="J72" s="54" t="str">
        <x:v>cache</x:v>
      </x:c>
      <x:c r="K72" s="88" t="n">
        <x:v>1796</x:v>
      </x:c>
      <x:c r="L72" s="60" t="n">
        <x:v>89.75</x:v>
      </x:c>
      <x:c r="M72" s="60" t="n">
        <x:v>0.9940613888888884</x:v>
      </x:c>
      <x:c r="N72" s="60" t="n">
        <x:v>216.44</x:v>
      </x:c>
      <x:c r="O72" s="60" t="n">
        <x:v>18.6769724741875</x:v>
      </x:c>
      <x:c r="P72" s="60" t="n">
        <x:v>18.791079045570875</x:v>
      </x:c>
      <x:c r="Q72" s="60" t="n">
        <x:v>0.1141065713833741</x:v>
      </x:c>
      <x:c r="R72" s="63" t="n">
        <x:v>0.6109479014389245</x:v>
      </x:c>
    </x:row>
    <x:row r="73" ht="15.75" customHeight="1">
      <x:c r="A73" s="70" t="n">
        <x:v>4</x:v>
      </x:c>
      <x:c r="B73" s="54" t="str">
        <x:v>UP004_20240701_123753_R165</x:v>
      </x:c>
      <x:c r="C73" s="88" t="n">
        <x:v>20</x:v>
      </x:c>
      <x:c r="D73" s="54" t="str">
        <x:v>盎孟港-三官堂</x:v>
      </x:c>
      <x:c r="E73" s="88" t="n">
        <x:v>3</x:v>
      </x:c>
      <x:c r="F73" s="88" t="n">
        <x:v>184</x:v>
      </x:c>
      <x:c r="G73" s="54" t="str">
        <x:v>2024-07-01 13:21:33</x:v>
      </x:c>
      <x:c r="H73" s="54" t="str">
        <x:v>2024-07-01 13:23:52</x:v>
      </x:c>
      <x:c r="I73" s="54" t="str">
        <x:v>traceability-cache</x:v>
      </x:c>
      <x:c r="J73" s="54" t="str">
        <x:v>cache</x:v>
      </x:c>
      <x:c r="K73" s="88" t="n">
        <x:v>2765</x:v>
      </x:c>
      <x:c r="L73" s="60" t="n">
        <x:v>138.2</x:v>
      </x:c>
      <x:c r="M73" s="60" t="n">
        <x:v>1.877915555555553</x:v>
      </x:c>
      <x:c r="N73" s="60" t="n">
        <x:v>216.14</x:v>
      </x:c>
      <x:c r="O73" s="60" t="n">
        <x:v>16.344687558743058</x:v>
      </x:c>
      <x:c r="P73" s="60" t="n">
        <x:v>15.347755451123094</x:v>
      </x:c>
      <x:c r="Q73" s="60" t="n">
        <x:v>-0.9969321076199648</x:v>
      </x:c>
      <x:c r="R73" s="63" t="n">
        <x:v>-6.099425908491524</x:v>
      </x:c>
    </x:row>
    <x:row r="74" ht="15.75" customHeight="1">
      <x:c r="A74" s="70" t="n">
        <x:v>4</x:v>
      </x:c>
      <x:c r="B74" s="54" t="str">
        <x:v>UP004_20240701_123753_R165</x:v>
      </x:c>
      <x:c r="C74" s="88" t="n">
        <x:v>21</x:v>
      </x:c>
      <x:c r="D74" s="54" t="str">
        <x:v>三官堂-兴庄路</x:v>
      </x:c>
      <x:c r="E74" s="88" t="n">
        <x:v>3</x:v>
      </x:c>
      <x:c r="F74" s="88" t="n">
        <x:v>185</x:v>
      </x:c>
      <x:c r="G74" s="54" t="str">
        <x:v>2024-07-01 13:24:26</x:v>
      </x:c>
      <x:c r="H74" s="54" t="str">
        <x:v>2024-07-01 13:26:11</x:v>
      </x:c>
      <x:c r="I74" s="54" t="str">
        <x:v>traceability-cache</x:v>
      </x:c>
      <x:c r="J74" s="54" t="str">
        <x:v>cache</x:v>
      </x:c>
      <x:c r="K74" s="88" t="n">
        <x:v>2095</x:v>
      </x:c>
      <x:c r="L74" s="60" t="n">
        <x:v>104.7</x:v>
      </x:c>
      <x:c r="M74" s="60" t="n">
        <x:v>1.080378472222221</x:v>
      </x:c>
      <x:c r="N74" s="60" t="n">
        <x:v>216.24</x:v>
      </x:c>
      <x:c r="O74" s="60" t="n">
        <x:v>10.456834729756944</x:v>
      </x:c>
      <x:c r="P74" s="60" t="n">
        <x:v>10.410654703638722</x:v>
      </x:c>
      <x:c r="Q74" s="60" t="n">
        <x:v>-0.0461800261182233</x:v>
      </x:c>
      <x:c r="R74" s="63" t="n">
        <x:v>-0.4416252844353482</x:v>
      </x:c>
    </x:row>
    <x:row r="75" ht="15.75" customHeight="1">
      <x:c r="A75" s="70" t="n">
        <x:v>4</x:v>
      </x:c>
      <x:c r="B75" s="54" t="str">
        <x:v>UP004_20240701_123753_R165</x:v>
      </x:c>
      <x:c r="C75" s="88" t="n">
        <x:v>22</x:v>
      </x:c>
      <x:c r="D75" s="54" t="str">
        <x:v>兴庄路-兴海南路</x:v>
      </x:c>
      <x:c r="E75" s="88" t="n">
        <x:v>3</x:v>
      </x:c>
      <x:c r="F75" s="88" t="n">
        <x:v>186</x:v>
      </x:c>
      <x:c r="G75" s="54" t="str">
        <x:v>2024-07-01 13:26:42</x:v>
      </x:c>
      <x:c r="H75" s="54" t="str">
        <x:v>2024-07-01 13:28:13</x:v>
      </x:c>
      <x:c r="I75" s="54" t="str">
        <x:v>traceability-cache</x:v>
      </x:c>
      <x:c r="J75" s="54" t="str">
        <x:v>cache</x:v>
      </x:c>
      <x:c r="K75" s="88" t="n">
        <x:v>1823</x:v>
      </x:c>
      <x:c r="L75" s="60" t="n">
        <x:v>91.1</x:v>
      </x:c>
      <x:c r="M75" s="60" t="n">
        <x:v>0.9587738888888868</x:v>
      </x:c>
      <x:c r="N75" s="60" t="n">
        <x:v>216.04</x:v>
      </x:c>
      <x:c r="O75" s="60" t="n">
        <x:v>12.283342190104166</x:v>
      </x:c>
      <x:c r="P75" s="60" t="n">
        <x:v>12.101362068456911</x:v>
      </x:c>
      <x:c r="Q75" s="60" t="n">
        <x:v>-0.1819801216472551</x:v>
      </x:c>
      <x:c r="R75" s="63" t="n">
        <x:v>-1.4815195964650718</x:v>
      </x:c>
    </x:row>
    <x:row r="76" ht="15.75" customHeight="1">
      <x:c r="A76" s="70" t="n">
        <x:v>4</x:v>
      </x:c>
      <x:c r="B76" s="54" t="str">
        <x:v>UP004_20240701_123753_R165</x:v>
      </x:c>
      <x:c r="C76" s="88" t="n">
        <x:v>23</x:v>
      </x:c>
      <x:c r="D76" s="54" t="str">
        <x:v>兴海南路-梅堰</x:v>
      </x:c>
      <x:c r="E76" s="88" t="n">
        <x:v>3</x:v>
      </x:c>
      <x:c r="F76" s="88" t="n">
        <x:v>187</x:v>
      </x:c>
      <x:c r="G76" s="54" t="str">
        <x:v>2024-07-01 13:28:43</x:v>
      </x:c>
      <x:c r="H76" s="54" t="str">
        <x:v>2024-07-01 13:30:05</x:v>
      </x:c>
      <x:c r="I76" s="54" t="str">
        <x:v>traceability-cache</x:v>
      </x:c>
      <x:c r="J76" s="54" t="str">
        <x:v>cache</x:v>
      </x:c>
      <x:c r="K76" s="88" t="n">
        <x:v>1629</x:v>
      </x:c>
      <x:c r="L76" s="60" t="n">
        <x:v>81.4</x:v>
      </x:c>
      <x:c r="M76" s="60" t="n">
        <x:v>0.8336791666666654</x:v>
      </x:c>
      <x:c r="N76" s="60" t="n">
        <x:v>215.94</x:v>
      </x:c>
      <x:c r="O76" s="60" t="n">
        <x:v>12.824431422791667</x:v>
      </x:c>
      <x:c r="P76" s="60" t="n">
        <x:v>13.0186254539486</x:v>
      </x:c>
      <x:c r="Q76" s="60" t="n">
        <x:v>0.1941940311569342</x:v>
      </x:c>
      <x:c r="R76" s="63" t="n">
        <x:v>1.5142506108443237</x:v>
      </x:c>
    </x:row>
    <x:row r="77" ht="15.75" customHeight="1">
      <x:c r="A77" s="70" t="n">
        <x:v>4</x:v>
      </x:c>
      <x:c r="B77" s="54" t="str">
        <x:v>UP004_20240701_123753_R165</x:v>
      </x:c>
      <x:c r="C77" s="88" t="n">
        <x:v>24</x:v>
      </x:c>
      <x:c r="D77" s="54" t="str">
        <x:v>梅堰-永茂路</x:v>
      </x:c>
      <x:c r="E77" s="88" t="n">
        <x:v>2</x:v>
      </x:c>
      <x:c r="F77" s="88" t="n">
        <x:v>188</x:v>
      </x:c>
      <x:c r="G77" s="54" t="str">
        <x:v>2024-07-01 13:30:41</x:v>
      </x:c>
      <x:c r="H77" s="54" t="str">
        <x:v>2024-07-01 13:36:09</x:v>
      </x:c>
      <x:c r="I77" s="54" t="str">
        <x:v>traceability-cache</x:v>
      </x:c>
      <x:c r="J77" s="54" t="str">
        <x:v>cache</x:v>
      </x:c>
      <x:c r="K77" s="88" t="n">
        <x:v>6568</x:v>
      </x:c>
      <x:c r="L77" s="60" t="n">
        <x:v>328.35</x:v>
      </x:c>
      <x:c r="M77" s="60" t="n">
        <x:v>3.675590000000009</x:v>
      </x:c>
      <x:c r="N77" s="60" t="n">
        <x:v>216.14</x:v>
      </x:c>
      <x:c r="O77" s="60" t="n">
        <x:v>26.160331478875</x:v>
      </x:c>
      <x:c r="P77" s="60" t="n">
        <x:v>25.58396072399184</x:v>
      </x:c>
      <x:c r="Q77" s="60" t="n">
        <x:v>-0.5763707548831589</x:v>
      </x:c>
      <x:c r="R77" s="63" t="n">
        <x:v>-2.2032242035946297</x:v>
      </x:c>
    </x:row>
    <x:row r="78" ht="15.75" customHeight="1">
      <x:c r="A78" s="70" t="n">
        <x:v>4</x:v>
      </x:c>
      <x:c r="B78" s="54" t="str">
        <x:v>UP004_20240701_123753_R165</x:v>
      </x:c>
      <x:c r="C78" s="88" t="n">
        <x:v>25</x:v>
      </x:c>
      <x:c r="D78" s="54" t="str">
        <x:v>永茂路-镇海大道</x:v>
      </x:c>
      <x:c r="E78" s="88" t="n">
        <x:v>3</x:v>
      </x:c>
      <x:c r="F78" s="88" t="n">
        <x:v>189</x:v>
      </x:c>
      <x:c r="G78" s="54" t="str">
        <x:v>2024-07-01 13:36:37</x:v>
      </x:c>
      <x:c r="H78" s="54" t="str">
        <x:v>2024-07-01 13:38:59</x:v>
      </x:c>
      <x:c r="I78" s="54" t="str">
        <x:v>traceability-cache</x:v>
      </x:c>
      <x:c r="J78" s="54" t="str">
        <x:v>cache</x:v>
      </x:c>
      <x:c r="K78" s="88" t="n">
        <x:v>2851</x:v>
      </x:c>
      <x:c r="L78" s="60" t="n">
        <x:v>142.5</x:v>
      </x:c>
      <x:c r="M78" s="60" t="n">
        <x:v>2.132875416666676</x:v>
      </x:c>
      <x:c r="N78" s="60" t="n">
        <x:v>216.14</x:v>
      </x:c>
      <x:c r="O78" s="60" t="n">
        <x:v>18.070620082347222</x:v>
      </x:c>
      <x:c r="P78" s="60" t="n">
        <x:v>17.518997018688943</x:v>
      </x:c>
      <x:c r="Q78" s="60" t="n">
        <x:v>-0.5516230636582768</x:v>
      </x:c>
      <x:c r="R78" s="63" t="n">
        <x:v>-3.052596209452408</x:v>
      </x:c>
    </x:row>
    <x:row r="79" ht="15.75" customHeight="1">
      <x:c r="A79" s="70" t="n">
        <x:v>4</x:v>
      </x:c>
      <x:c r="B79" s="54" t="str">
        <x:v>UP004_20240701_123753_R165</x:v>
      </x:c>
      <x:c r="C79" s="88" t="n">
        <x:v>26</x:v>
      </x:c>
      <x:c r="D79" s="54" t="str">
        <x:v>镇海大道-骆驼桥</x:v>
      </x:c>
      <x:c r="E79" s="88" t="n">
        <x:v>3</x:v>
      </x:c>
      <x:c r="F79" s="88" t="n">
        <x:v>190</x:v>
      </x:c>
      <x:c r="G79" s="54" t="str">
        <x:v>2024-07-01 13:39:27</x:v>
      </x:c>
      <x:c r="H79" s="54" t="str">
        <x:v>2024-07-01 13:41:24</x:v>
      </x:c>
      <x:c r="I79" s="54" t="str">
        <x:v>traceability-cache</x:v>
      </x:c>
      <x:c r="J79" s="54" t="str">
        <x:v>cache</x:v>
      </x:c>
      <x:c r="K79" s="88" t="n">
        <x:v>2329</x:v>
      </x:c>
      <x:c r="L79" s="60" t="n">
        <x:v>116.4</x:v>
      </x:c>
      <x:c r="M79" s="60" t="n">
        <x:v>1.596590138888891</x:v>
      </x:c>
      <x:c r="N79" s="60" t="n">
        <x:v>215.74</x:v>
      </x:c>
      <x:c r="O79" s="60" t="n">
        <x:v>20.19162445858333</x:v>
      </x:c>
      <x:c r="P79" s="60" t="n">
        <x:v>18.56084679497108</x:v>
      </x:c>
      <x:c r="Q79" s="60" t="n">
        <x:v>-1.630777663612258</x:v>
      </x:c>
      <x:c r="R79" s="63" t="n">
        <x:v>-8.076505518202746</x:v>
      </x:c>
    </x:row>
    <x:row r="80" ht="15.75" customHeight="1">
      <x:c r="A80" s="70" t="n">
        <x:v>5</x:v>
      </x:c>
      <x:c r="B80" s="54" t="str">
        <x:v>UP005_20240701_145202_R220</x:v>
      </x:c>
      <x:c r="C80" s="88" t="n">
        <x:v>1</x:v>
      </x:c>
      <x:c r="D80" s="54" t="str">
        <x:v>布政-张家潭</x:v>
      </x:c>
      <x:c r="E80" s="88" t="n">
        <x:v>4</x:v>
      </x:c>
      <x:c r="F80" s="88" t="n">
        <x:v>220</x:v>
      </x:c>
      <x:c r="G80" s="54" t="str">
        <x:v>2024-07-01 14:52:02</x:v>
      </x:c>
      <x:c r="H80" s="54" t="str">
        <x:v>2024-07-01 14:53:58</x:v>
      </x:c>
      <x:c r="I80" s="54" t="str">
        <x:v>traceability-cache</x:v>
      </x:c>
      <x:c r="J80" s="54" t="str">
        <x:v>cache</x:v>
      </x:c>
      <x:c r="K80" s="88" t="n">
        <x:v>2327</x:v>
      </x:c>
      <x:c r="L80" s="60" t="n">
        <x:v>116.3</x:v>
      </x:c>
      <x:c r="M80" s="60" t="n">
        <x:v>1.428645833333329</x:v>
      </x:c>
      <x:c r="N80" s="60" t="n">
        <x:v>215.24</x:v>
      </x:c>
      <x:c r="O80" s="60" t="n">
        <x:v>13.108531943083332</x:v>
      </x:c>
      <x:c r="P80" s="60" t="n">
        <x:v>12.976196525566742</x:v>
      </x:c>
      <x:c r="Q80" s="60" t="n">
        <x:v>-0.1323354175165896</x:v>
      </x:c>
      <x:c r="R80" s="63" t="n">
        <x:v>-1.0095365224052866</x:v>
      </x:c>
    </x:row>
    <x:row r="81" ht="15.75" customHeight="1">
      <x:c r="A81" s="70" t="n">
        <x:v>5</x:v>
      </x:c>
      <x:c r="B81" s="54" t="str">
        <x:v>UP005_20240701_145202_R220</x:v>
      </x:c>
      <x:c r="C81" s="88" t="n">
        <x:v>2</x:v>
      </x:c>
      <x:c r="D81" s="54" t="str">
        <x:v>张家潭-同德路</x:v>
      </x:c>
      <x:c r="E81" s="88" t="n">
        <x:v>4</x:v>
      </x:c>
      <x:c r="F81" s="88" t="n">
        <x:v>221</x:v>
      </x:c>
      <x:c r="G81" s="54" t="str">
        <x:v>2024-07-01 14:54:28</x:v>
      </x:c>
      <x:c r="H81" s="54" t="str">
        <x:v>2024-07-01 14:56:58</x:v>
      </x:c>
      <x:c r="I81" s="54" t="str">
        <x:v>traceability-cache</x:v>
      </x:c>
      <x:c r="J81" s="54" t="str">
        <x:v>cache</x:v>
      </x:c>
      <x:c r="K81" s="88" t="n">
        <x:v>3010</x:v>
      </x:c>
      <x:c r="L81" s="60" t="n">
        <x:v>150.45</x:v>
      </x:c>
      <x:c r="M81" s="60" t="n">
        <x:v>2.0211208333333293</x:v>
      </x:c>
      <x:c r="N81" s="60" t="n">
        <x:v>215.24</x:v>
      </x:c>
      <x:c r="O81" s="60" t="n">
        <x:v>17.458041243375003</x:v>
      </x:c>
      <x:c r="P81" s="60" t="n">
        <x:v>16.843421717495257</x:v>
      </x:c>
      <x:c r="Q81" s="60" t="n">
        <x:v>-0.6146195258797452</x:v>
      </x:c>
      <x:c r="R81" s="63" t="n">
        <x:v>-3.520552605596471</x:v>
      </x:c>
    </x:row>
    <x:row r="82" ht="15.75" customHeight="1">
      <x:c r="A82" s="70" t="n">
        <x:v>5</x:v>
      </x:c>
      <x:c r="B82" s="54" t="str">
        <x:v>UP005_20240701_145202_R220</x:v>
      </x:c>
      <x:c r="C82" s="88" t="n">
        <x:v>3</x:v>
      </x:c>
      <x:c r="D82" s="54" t="str">
        <x:v>同德路-石碶</x:v>
      </x:c>
      <x:c r="E82" s="88" t="n">
        <x:v>4</x:v>
      </x:c>
      <x:c r="F82" s="88" t="n">
        <x:v>222</x:v>
      </x:c>
      <x:c r="G82" s="54" t="str">
        <x:v>2024-07-01 14:57:28</x:v>
      </x:c>
      <x:c r="H82" s="54" t="str">
        <x:v>2024-07-01 14:59:18</x:v>
      </x:c>
      <x:c r="I82" s="54" t="str">
        <x:v>traceability-cache</x:v>
      </x:c>
      <x:c r="J82" s="54" t="str">
        <x:v>cache</x:v>
      </x:c>
      <x:c r="K82" s="88" t="n">
        <x:v>2211</x:v>
      </x:c>
      <x:c r="L82" s="60" t="n">
        <x:v>110.5</x:v>
      </x:c>
      <x:c r="M82" s="60" t="n">
        <x:v>1.330464166666665</x:v>
      </x:c>
      <x:c r="N82" s="60" t="n">
        <x:v>215.24</x:v>
      </x:c>
      <x:c r="O82" s="60" t="n">
        <x:v>11.767722841270835</x:v>
      </x:c>
      <x:c r="P82" s="60" t="n">
        <x:v>11.482152542675877</x:v>
      </x:c>
      <x:c r="Q82" s="60" t="n">
        <x:v>-0.2855702985949592</x:v>
      </x:c>
      <x:c r="R82" s="63" t="n">
        <x:v>-2.426725224980907</x:v>
      </x:c>
    </x:row>
    <x:row r="83" ht="15.75" customHeight="1">
      <x:c r="A83" s="70" t="n">
        <x:v>5</x:v>
      </x:c>
      <x:c r="B83" s="54" t="str">
        <x:v>UP005_20240701_145202_R220</x:v>
      </x:c>
      <x:c r="C83" s="88" t="n">
        <x:v>4</x:v>
      </x:c>
      <x:c r="D83" s="54" t="str">
        <x:v>石碶-雅渡</x:v>
      </x:c>
      <x:c r="E83" s="88" t="n">
        <x:v>4</x:v>
      </x:c>
      <x:c r="F83" s="88" t="n">
        <x:v>223</x:v>
      </x:c>
      <x:c r="G83" s="54" t="str">
        <x:v>2024-07-01 14:59:53</x:v>
      </x:c>
      <x:c r="H83" s="54" t="str">
        <x:v>2024-07-01 15:01:17</x:v>
      </x:c>
      <x:c r="I83" s="54" t="str">
        <x:v>traceability-cache</x:v>
      </x:c>
      <x:c r="J83" s="54" t="str">
        <x:v>cache</x:v>
      </x:c>
      <x:c r="K83" s="88" t="n">
        <x:v>1679</x:v>
      </x:c>
      <x:c r="L83" s="60" t="n">
        <x:v>83.9</x:v>
      </x:c>
      <x:c r="M83" s="60" t="n">
        <x:v>0.8278845833333334</x:v>
      </x:c>
      <x:c r="N83" s="60" t="n">
        <x:v>215.54</x:v>
      </x:c>
      <x:c r="O83" s="60" t="n">
        <x:v>13.065511340590277</x:v>
      </x:c>
      <x:c r="P83" s="60" t="n">
        <x:v>13.266804867031208</x:v>
      </x:c>
      <x:c r="Q83" s="60" t="n">
        <x:v>0.2012935264409298</x:v>
      </x:c>
      <x:c r="R83" s="63" t="n">
        <x:v>1.5406479026624584</x:v>
      </x:c>
    </x:row>
    <x:row r="84" ht="15.75" customHeight="1">
      <x:c r="A84" s="70" t="n">
        <x:v>5</x:v>
      </x:c>
      <x:c r="B84" s="54" t="str">
        <x:v>UP005_20240701_145202_R220</x:v>
      </x:c>
      <x:c r="C84" s="88" t="n">
        <x:v>5</x:v>
      </x:c>
      <x:c r="D84" s="54" t="str">
        <x:v>雅渡-庙堰</x:v>
      </x:c>
      <x:c r="E84" s="88" t="n">
        <x:v>4</x:v>
      </x:c>
      <x:c r="F84" s="88" t="n">
        <x:v>224</x:v>
      </x:c>
      <x:c r="G84" s="54" t="str">
        <x:v>2024-07-01 15:01:47</x:v>
      </x:c>
      <x:c r="H84" s="54" t="str">
        <x:v>2024-07-01 15:03:57</x:v>
      </x:c>
      <x:c r="I84" s="54" t="str">
        <x:v>traceability-cache</x:v>
      </x:c>
      <x:c r="J84" s="54" t="str">
        <x:v>cache</x:v>
      </x:c>
      <x:c r="K84" s="88" t="n">
        <x:v>2601</x:v>
      </x:c>
      <x:c r="L84" s="60" t="n">
        <x:v>130</x:v>
      </x:c>
      <x:c r="M84" s="60" t="n">
        <x:v>1.8604634722222149</x:v>
      </x:c>
      <x:c r="N84" s="60" t="n">
        <x:v>215.64</x:v>
      </x:c>
      <x:c r="O84" s="60" t="n">
        <x:v>21.102914640284723</x:v>
      </x:c>
      <x:c r="P84" s="60" t="n">
        <x:v>20.43334296962139</x:v>
      </x:c>
      <x:c r="Q84" s="60" t="n">
        <x:v>-0.669571670663332</x:v>
      </x:c>
      <x:c r="R84" s="63" t="n">
        <x:v>-3.172887167847153</x:v>
      </x:c>
    </x:row>
    <x:row r="85" ht="15.75" customHeight="1">
      <x:c r="A85" s="70" t="n">
        <x:v>5</x:v>
      </x:c>
      <x:c r="B85" s="54" t="str">
        <x:v>UP005_20240701_145202_R220</x:v>
      </x:c>
      <x:c r="C85" s="88" t="n">
        <x:v>6</x:v>
      </x:c>
      <x:c r="D85" s="54" t="str">
        <x:v>庙堰-钟公庙</x:v>
      </x:c>
      <x:c r="E85" s="88" t="n">
        <x:v>4</x:v>
      </x:c>
      <x:c r="F85" s="88" t="n">
        <x:v>225</x:v>
      </x:c>
      <x:c r="G85" s="54" t="str">
        <x:v>2024-07-01 15:04:26</x:v>
      </x:c>
      <x:c r="H85" s="54" t="str">
        <x:v>2024-07-01 15:06:03</x:v>
      </x:c>
      <x:c r="I85" s="54" t="str">
        <x:v>traceability-cache</x:v>
      </x:c>
      <x:c r="J85" s="54" t="str">
        <x:v>cache</x:v>
      </x:c>
      <x:c r="K85" s="88" t="n">
        <x:v>1929</x:v>
      </x:c>
      <x:c r="L85" s="60" t="n">
        <x:v>96.4</x:v>
      </x:c>
      <x:c r="M85" s="60" t="n">
        <x:v>1.0876188888888871</x:v>
      </x:c>
      <x:c r="N85" s="60" t="n">
        <x:v>215.84</x:v>
      </x:c>
      <x:c r="O85" s="60" t="n">
        <x:v>13.037616475666669</x:v>
      </x:c>
      <x:c r="P85" s="60" t="n">
        <x:v>13.14908993556571</x:v>
      </x:c>
      <x:c r="Q85" s="60" t="n">
        <x:v>0.1114734598990435</x:v>
      </x:c>
      <x:c r="R85" s="63" t="n">
        <x:v>0.8550141055851501</x:v>
      </x:c>
    </x:row>
    <x:row r="86" ht="15.75" customHeight="1">
      <x:c r="A86" s="70" t="n">
        <x:v>5</x:v>
      </x:c>
      <x:c r="B86" s="54" t="str">
        <x:v>UP005_20240701_145202_R220</x:v>
      </x:c>
      <x:c r="C86" s="88" t="n">
        <x:v>7</x:v>
      </x:c>
      <x:c r="D86" s="54" t="str">
        <x:v>钟公庙-鄞州区政府</x:v>
      </x:c>
      <x:c r="E86" s="88" t="n">
        <x:v>4</x:v>
      </x:c>
      <x:c r="F86" s="88" t="n">
        <x:v>226</x:v>
      </x:c>
      <x:c r="G86" s="54" t="str">
        <x:v>2024-07-01 15:06:33</x:v>
      </x:c>
      <x:c r="H86" s="54" t="str">
        <x:v>2024-07-01 15:08:03</x:v>
      </x:c>
      <x:c r="I86" s="54" t="str">
        <x:v>traceability-cache</x:v>
      </x:c>
      <x:c r="J86" s="54" t="str">
        <x:v>cache</x:v>
      </x:c>
      <x:c r="K86" s="88" t="n">
        <x:v>1802</x:v>
      </x:c>
      <x:c r="L86" s="60" t="n">
        <x:v>90.05</x:v>
      </x:c>
      <x:c r="M86" s="60" t="n">
        <x:v>0.985130555555554</x:v>
      </x:c>
      <x:c r="N86" s="60" t="n">
        <x:v>215.64</x:v>
      </x:c>
      <x:c r="O86" s="60" t="n">
        <x:v>10.306098725423611</x:v>
      </x:c>
      <x:c r="P86" s="60" t="n">
        <x:v>10.99296282353506</x:v>
      </x:c>
      <x:c r="Q86" s="60" t="n">
        <x:v>0.6868640981114477</x:v>
      </x:c>
      <x:c r="R86" s="63" t="n">
        <x:v>6.6646372833306575</x:v>
      </x:c>
    </x:row>
    <x:row r="87" ht="15.75" customHeight="1">
      <x:c r="A87" s="70" t="n">
        <x:v>5</x:v>
      </x:c>
      <x:c r="B87" s="54" t="str">
        <x:v>UP005_20240701_145202_R220</x:v>
      </x:c>
      <x:c r="C87" s="88" t="n">
        <x:v>8</x:v>
      </x:c>
      <x:c r="D87" s="54" t="str">
        <x:v>鄞州区政府-钱湖南路</x:v>
      </x:c>
      <x:c r="E87" s="88" t="n">
        <x:v>4</x:v>
      </x:c>
      <x:c r="F87" s="88" t="n">
        <x:v>227</x:v>
      </x:c>
      <x:c r="G87" s="54" t="str">
        <x:v>2024-07-01 15:08:43</x:v>
      </x:c>
      <x:c r="H87" s="54" t="str">
        <x:v>2024-07-01 15:10:55</x:v>
      </x:c>
      <x:c r="I87" s="54" t="str">
        <x:v>traceability-cache</x:v>
      </x:c>
      <x:c r="J87" s="54" t="str">
        <x:v>cache</x:v>
      </x:c>
      <x:c r="K87" s="88" t="n">
        <x:v>2655</x:v>
      </x:c>
      <x:c r="L87" s="60" t="n">
        <x:v>132.7</x:v>
      </x:c>
      <x:c r="M87" s="60" t="n">
        <x:v>1.811574583333338</x:v>
      </x:c>
      <x:c r="N87" s="60" t="n">
        <x:v>215.64</x:v>
      </x:c>
      <x:c r="O87" s="60" t="n">
        <x:v>17.209037391743056</x:v>
      </x:c>
      <x:c r="P87" s="60" t="n">
        <x:v>15.908851629889014</x:v>
      </x:c>
      <x:c r="Q87" s="60" t="n">
        <x:v>-1.3001857618540416</x:v>
      </x:c>
      <x:c r="R87" s="63" t="n">
        <x:v>-7.555249792634388</x:v>
      </x:c>
    </x:row>
    <x:row r="88" ht="15.75" customHeight="1">
      <x:c r="A88" s="70" t="n">
        <x:v>5</x:v>
      </x:c>
      <x:c r="B88" s="54" t="str">
        <x:v>UP005_20240701_145202_R220</x:v>
      </x:c>
      <x:c r="C88" s="88" t="n">
        <x:v>9</x:v>
      </x:c>
      <x:c r="D88" s="54" t="str">
        <x:v>钱湖南路-南高教园区</x:v>
      </x:c>
      <x:c r="E88" s="88" t="n">
        <x:v>4</x:v>
      </x:c>
      <x:c r="F88" s="88" t="n">
        <x:v>228</x:v>
      </x:c>
      <x:c r="G88" s="54" t="str">
        <x:v>2024-07-01 15:11:24</x:v>
      </x:c>
      <x:c r="H88" s="54" t="str">
        <x:v>2024-07-01 15:13:05</x:v>
      </x:c>
      <x:c r="I88" s="54" t="str">
        <x:v>traceability-cache</x:v>
      </x:c>
      <x:c r="J88" s="54" t="str">
        <x:v>cache</x:v>
      </x:c>
      <x:c r="K88" s="88" t="n">
        <x:v>2013</x:v>
      </x:c>
      <x:c r="L88" s="60" t="n">
        <x:v>100.6</x:v>
      </x:c>
      <x:c r="M88" s="60" t="n">
        <x:v>1.168927499999999</x:v>
      </x:c>
      <x:c r="N88" s="60" t="n">
        <x:v>215.54</x:v>
      </x:c>
      <x:c r="O88" s="60" t="n">
        <x:v>13.790074980854166</x:v>
      </x:c>
      <x:c r="P88" s="60" t="n">
        <x:v>13.775565443530194</x:v>
      </x:c>
      <x:c r="Q88" s="60" t="n">
        <x:v>-0.014509537323971</x:v>
      </x:c>
      <x:c r="R88" s="63" t="n">
        <x:v>-0.1052172475067448</x:v>
      </x:c>
    </x:row>
    <x:row r="89" ht="15.75" customHeight="1">
      <x:c r="A89" s="70" t="n">
        <x:v>5</x:v>
      </x:c>
      <x:c r="B89" s="54" t="str">
        <x:v>UP005_20240701_145202_R220</x:v>
      </x:c>
      <x:c r="C89" s="88" t="n">
        <x:v>10</x:v>
      </x:c>
      <x:c r="D89" s="54" t="str">
        <x:v>南高教园区-下应路</x:v>
      </x:c>
      <x:c r="E89" s="88" t="n">
        <x:v>4</x:v>
      </x:c>
      <x:c r="F89" s="88" t="n">
        <x:v>229</x:v>
      </x:c>
      <x:c r="G89" s="54" t="str">
        <x:v>2024-07-01 15:13:40</x:v>
      </x:c>
      <x:c r="H89" s="54" t="str">
        <x:v>2024-07-01 15:15:36</x:v>
      </x:c>
      <x:c r="I89" s="54" t="str">
        <x:v>traceability-cache</x:v>
      </x:c>
      <x:c r="J89" s="54" t="str">
        <x:v>cache</x:v>
      </x:c>
      <x:c r="K89" s="88" t="n">
        <x:v>2319</x:v>
      </x:c>
      <x:c r="L89" s="60" t="n">
        <x:v>115.9</x:v>
      </x:c>
      <x:c r="M89" s="60" t="n">
        <x:v>1.45299208333333</x:v>
      </x:c>
      <x:c r="N89" s="60" t="n">
        <x:v>215.74</x:v>
      </x:c>
      <x:c r="O89" s="60" t="n">
        <x:v>18.943014141881942</x:v>
      </x:c>
      <x:c r="P89" s="60" t="n">
        <x:v>18.17171749383915</x:v>
      </x:c>
      <x:c r="Q89" s="60" t="n">
        <x:v>-0.7712966480427931</x:v>
      </x:c>
      <x:c r="R89" s="63" t="n">
        <x:v>-4.0716680157963845</x:v>
      </x:c>
    </x:row>
    <x:row r="90" ht="15.75" customHeight="1">
      <x:c r="A90" s="70" t="n">
        <x:v>5</x:v>
      </x:c>
      <x:c r="B90" s="54" t="str">
        <x:v>UP005_20240701_145202_R220</x:v>
      </x:c>
      <x:c r="C90" s="88" t="n">
        <x:v>11</x:v>
      </x:c>
      <x:c r="D90" s="54" t="str">
        <x:v>下应路-大洋江</x:v>
      </x:c>
      <x:c r="E90" s="88" t="n">
        <x:v>4</x:v>
      </x:c>
      <x:c r="F90" s="88" t="n">
        <x:v>230</x:v>
      </x:c>
      <x:c r="G90" s="54" t="str">
        <x:v>2024-07-01 15:16:05</x:v>
      </x:c>
      <x:c r="H90" s="54" t="str">
        <x:v>2024-07-01 15:17:50</x:v>
      </x:c>
      <x:c r="I90" s="54" t="str">
        <x:v>traceability-cache</x:v>
      </x:c>
      <x:c r="J90" s="54" t="str">
        <x:v>cache</x:v>
      </x:c>
      <x:c r="K90" s="88" t="n">
        <x:v>2111</x:v>
      </x:c>
      <x:c r="L90" s="60" t="n">
        <x:v>105.5</x:v>
      </x:c>
      <x:c r="M90" s="60" t="n">
        <x:v>1.213937361111109</x:v>
      </x:c>
      <x:c r="N90" s="60" t="n">
        <x:v>215.84</x:v>
      </x:c>
      <x:c r="O90" s="60" t="n">
        <x:v>11.3941611934375</x:v>
      </x:c>
      <x:c r="P90" s="60" t="n">
        <x:v>11.072595893485987</x:v>
      </x:c>
      <x:c r="Q90" s="60" t="n">
        <x:v>-0.3215652999515114</x:v>
      </x:c>
      <x:c r="R90" s="63" t="n">
        <x:v>-2.8221937051120345</x:v>
      </x:c>
    </x:row>
    <x:row r="91" ht="15.75" customHeight="1">
      <x:c r="A91" s="70" t="n">
        <x:v>5</x:v>
      </x:c>
      <x:c r="B91" s="54" t="str">
        <x:v>UP005_20240701_145202_R220</x:v>
      </x:c>
      <x:c r="C91" s="88" t="n">
        <x:v>12</x:v>
      </x:c>
      <x:c r="D91" s="54" t="str">
        <x:v>大洋江-泗港</x:v>
      </x:c>
      <x:c r="E91" s="88" t="n">
        <x:v>4</x:v>
      </x:c>
      <x:c r="F91" s="88" t="n">
        <x:v>231</x:v>
      </x:c>
      <x:c r="G91" s="54" t="str">
        <x:v>2024-07-01 15:18:20</x:v>
      </x:c>
      <x:c r="H91" s="54" t="str">
        <x:v>2024-07-01 15:19:52</x:v>
      </x:c>
      <x:c r="I91" s="54" t="str">
        <x:v>traceability-cache</x:v>
      </x:c>
      <x:c r="J91" s="54" t="str">
        <x:v>cache</x:v>
      </x:c>
      <x:c r="K91" s="88" t="n">
        <x:v>1851</x:v>
      </x:c>
      <x:c r="L91" s="60" t="n">
        <x:v>92.5</x:v>
      </x:c>
      <x:c r="M91" s="60" t="n">
        <x:v>0.9583620833333364</x:v>
      </x:c>
      <x:c r="N91" s="60" t="n">
        <x:v>215.74</x:v>
      </x:c>
      <x:c r="O91" s="60" t="n">
        <x:v>10.679517606</x:v>
      </x:c>
      <x:c r="P91" s="60" t="n">
        <x:v>10.847756322108932</x:v>
      </x:c>
      <x:c r="Q91" s="60" t="n">
        <x:v>0.16823871610893</x:v>
      </x:c>
      <x:c r="R91" s="63" t="n">
        <x:v>1.5753400323476183</x:v>
      </x:c>
    </x:row>
    <x:row r="92" ht="15.75" customHeight="1">
      <x:c r="A92" s="70" t="n">
        <x:v>5</x:v>
      </x:c>
      <x:c r="B92" s="54" t="str">
        <x:v>UP005_20240701_145202_R220</x:v>
      </x:c>
      <x:c r="C92" s="88" t="n">
        <x:v>13</x:v>
      </x:c>
      <x:c r="D92" s="54" t="str">
        <x:v>泗港-曹隘</x:v>
      </x:c>
      <x:c r="E92" s="88" t="n">
        <x:v>4</x:v>
      </x:c>
      <x:c r="F92" s="88" t="n">
        <x:v>232</x:v>
      </x:c>
      <x:c r="G92" s="54" t="str">
        <x:v>2024-07-01 15:20:22</x:v>
      </x:c>
      <x:c r="H92" s="54" t="str">
        <x:v>2024-07-01 15:22:36</x:v>
      </x:c>
      <x:c r="I92" s="54" t="str">
        <x:v>traceability-cache</x:v>
      </x:c>
      <x:c r="J92" s="54" t="str">
        <x:v>cache</x:v>
      </x:c>
      <x:c r="K92" s="88" t="n">
        <x:v>2696</x:v>
      </x:c>
      <x:c r="L92" s="60" t="n">
        <x:v>134.75</x:v>
      </x:c>
      <x:c r="M92" s="60" t="n">
        <x:v>1.799510833333341</x:v>
      </x:c>
      <x:c r="N92" s="60" t="n">
        <x:v>215.74</x:v>
      </x:c>
      <x:c r="O92" s="60" t="n">
        <x:v>22.526526425388887</x:v>
      </x:c>
      <x:c r="P92" s="60" t="n">
        <x:v>23.077167007078494</x:v>
      </x:c>
      <x:c r="Q92" s="60" t="n">
        <x:v>0.5506405816896041</x:v>
      </x:c>
      <x:c r="R92" s="63" t="n">
        <x:v>2.4444096319661406</x:v>
      </x:c>
    </x:row>
    <x:row r="93" ht="15.75" customHeight="1">
      <x:c r="A93" s="70" t="n">
        <x:v>5</x:v>
      </x:c>
      <x:c r="B93" s="54" t="str">
        <x:v>UP005_20240701_145202_R220</x:v>
      </x:c>
      <x:c r="C93" s="88" t="n">
        <x:v>14</x:v>
      </x:c>
      <x:c r="D93" s="54" t="str">
        <x:v>曹隘-柳隘</x:v>
      </x:c>
      <x:c r="E93" s="88" t="n">
        <x:v>4</x:v>
      </x:c>
      <x:c r="F93" s="88" t="n">
        <x:v>233</x:v>
      </x:c>
      <x:c r="G93" s="54" t="str">
        <x:v>2024-07-01 15:23:08</x:v>
      </x:c>
      <x:c r="H93" s="54" t="str">
        <x:v>2024-07-01 15:24:54</x:v>
      </x:c>
      <x:c r="I93" s="54" t="str">
        <x:v>traceability-cache</x:v>
      </x:c>
      <x:c r="J93" s="54" t="str">
        <x:v>cache</x:v>
      </x:c>
      <x:c r="K93" s="88" t="n">
        <x:v>2135</x:v>
      </x:c>
      <x:c r="L93" s="60" t="n">
        <x:v>106.7</x:v>
      </x:c>
      <x:c r="M93" s="60" t="n">
        <x:v>1.307607361111109</x:v>
      </x:c>
      <x:c r="N93" s="60" t="n">
        <x:v>215.64</x:v>
      </x:c>
      <x:c r="O93" s="60" t="n">
        <x:v>20.827520372951383</x:v>
      </x:c>
      <x:c r="P93" s="60" t="n">
        <x:v>21.867002083445517</x:v>
      </x:c>
      <x:c r="Q93" s="60" t="n">
        <x:v>1.0394817104941283</x:v>
      </x:c>
      <x:c r="R93" s="63" t="n">
        <x:v>4.990904783096979</x:v>
      </x:c>
    </x:row>
    <x:row r="94" ht="15.75" customHeight="1">
      <x:c r="A94" s="70" t="n">
        <x:v>5</x:v>
      </x:c>
      <x:c r="B94" s="54" t="str">
        <x:v>UP005_20240701_145202_R220</x:v>
      </x:c>
      <x:c r="C94" s="88" t="n">
        <x:v>15</x:v>
      </x:c>
      <x:c r="D94" s="54" t="str">
        <x:v>柳隘-海晏北路</x:v>
      </x:c>
      <x:c r="E94" s="88" t="n">
        <x:v>4</x:v>
      </x:c>
      <x:c r="F94" s="88" t="n">
        <x:v>234</x:v>
      </x:c>
      <x:c r="G94" s="54" t="str">
        <x:v>2024-07-01 15:25:25</x:v>
      </x:c>
      <x:c r="H94" s="54" t="str">
        <x:v>2024-07-01 15:26:53</x:v>
      </x:c>
      <x:c r="I94" s="54" t="str">
        <x:v>traceability-cache</x:v>
      </x:c>
      <x:c r="J94" s="54" t="str">
        <x:v>cache</x:v>
      </x:c>
      <x:c r="K94" s="88" t="n">
        <x:v>1775</x:v>
      </x:c>
      <x:c r="L94" s="60" t="n">
        <x:v>88.7</x:v>
      </x:c>
      <x:c r="M94" s="60" t="n">
        <x:v>0.9810879166666672</x:v>
      </x:c>
      <x:c r="N94" s="60" t="n">
        <x:v>215.84</x:v>
      </x:c>
      <x:c r="O94" s="60" t="n">
        <x:v>13.379494168493055</x:v>
      </x:c>
      <x:c r="P94" s="60" t="n">
        <x:v>14.095141421901616</x:v>
      </x:c>
      <x:c r="Q94" s="60" t="n">
        <x:v>0.7156472534085587</x:v>
      </x:c>
      <x:c r="R94" s="63" t="n">
        <x:v>5.348836393933439</x:v>
      </x:c>
    </x:row>
    <x:row r="95" ht="15.75" customHeight="1">
      <x:c r="A95" s="70" t="n">
        <x:v>5</x:v>
      </x:c>
      <x:c r="B95" s="54" t="str">
        <x:v>UP005_20240701_145202_R220</x:v>
      </x:c>
      <x:c r="C95" s="88" t="n">
        <x:v>16</x:v>
      </x:c>
      <x:c r="D95" s="54" t="str">
        <x:v>海晏北路-民安东路</x:v>
      </x:c>
      <x:c r="E95" s="88" t="n">
        <x:v>4</x:v>
      </x:c>
      <x:c r="F95" s="88" t="n">
        <x:v>235</x:v>
      </x:c>
      <x:c r="G95" s="54" t="str">
        <x:v>2024-07-01 15:27:38</x:v>
      </x:c>
      <x:c r="H95" s="54" t="str">
        <x:v>2024-07-01 15:29:02</x:v>
      </x:c>
      <x:c r="I95" s="54" t="str">
        <x:v>traceability-cache</x:v>
      </x:c>
      <x:c r="J95" s="54" t="str">
        <x:v>cache</x:v>
      </x:c>
      <x:c r="K95" s="88" t="n">
        <x:v>1680</x:v>
      </x:c>
      <x:c r="L95" s="60" t="n">
        <x:v>83.95</x:v>
      </x:c>
      <x:c r="M95" s="60" t="n">
        <x:v>0.8655016666666664</x:v>
      </x:c>
      <x:c r="N95" s="60" t="n">
        <x:v>216.04</x:v>
      </x:c>
      <x:c r="O95" s="60" t="n">
        <x:v>15.568865650041666</x:v>
      </x:c>
      <x:c r="P95" s="60" t="n">
        <x:v>15.958424947888435</x:v>
      </x:c>
      <x:c r="Q95" s="60" t="n">
        <x:v>0.3895592978467721</x:v>
      </x:c>
      <x:c r="R95" s="63" t="n">
        <x:v>2.5021687938178694</x:v>
      </x:c>
    </x:row>
    <x:row r="96" ht="15.75" customHeight="1">
      <x:c r="A96" s="70" t="n">
        <x:v>5</x:v>
      </x:c>
      <x:c r="B96" s="54" t="str">
        <x:v>UP005_20240701_145202_R220</x:v>
      </x:c>
      <x:c r="C96" s="88" t="n">
        <x:v>17</x:v>
      </x:c>
      <x:c r="D96" s="54" t="str">
        <x:v>民安东路-会展中心</x:v>
      </x:c>
      <x:c r="E96" s="88" t="n">
        <x:v>4</x:v>
      </x:c>
      <x:c r="F96" s="88" t="n">
        <x:v>236</x:v>
      </x:c>
      <x:c r="G96" s="54" t="str">
        <x:v>2024-07-01 15:29:32</x:v>
      </x:c>
      <x:c r="H96" s="54" t="str">
        <x:v>2024-07-01 15:30:48</x:v>
      </x:c>
      <x:c r="I96" s="54" t="str">
        <x:v>traceability-cache</x:v>
      </x:c>
      <x:c r="J96" s="54" t="str">
        <x:v>cache</x:v>
      </x:c>
      <x:c r="K96" s="88" t="n">
        <x:v>1524</x:v>
      </x:c>
      <x:c r="L96" s="60" t="n">
        <x:v>76.15</x:v>
      </x:c>
      <x:c r="M96" s="60" t="n">
        <x:v>0.7264640277777774</x:v>
      </x:c>
      <x:c r="N96" s="60" t="n">
        <x:v>216.14</x:v>
      </x:c>
      <x:c r="O96" s="60" t="n">
        <x:v>12.272752666833332</x:v>
      </x:c>
      <x:c r="P96" s="60" t="n">
        <x:v>12.774192948369272</x:v>
      </x:c>
      <x:c r="Q96" s="60" t="n">
        <x:v>0.5014402815359408</x:v>
      </x:c>
      <x:c r="R96" s="63" t="n">
        <x:v>4.085801247270834</x:v>
      </x:c>
    </x:row>
    <x:row r="97" ht="15.75" customHeight="1">
      <x:c r="A97" s="70" t="n">
        <x:v>5</x:v>
      </x:c>
      <x:c r="B97" s="54" t="str">
        <x:v>UP005_20240701_145202_R220</x:v>
      </x:c>
      <x:c r="C97" s="88" t="n">
        <x:v>18</x:v>
      </x:c>
      <x:c r="D97" s="54" t="str">
        <x:v>会展中心-院士路</x:v>
      </x:c>
      <x:c r="E97" s="88" t="n">
        <x:v>4</x:v>
      </x:c>
      <x:c r="F97" s="88" t="n">
        <x:v>237</x:v>
      </x:c>
      <x:c r="G97" s="54" t="str">
        <x:v>2024-07-01 15:31:18</x:v>
      </x:c>
      <x:c r="H97" s="54" t="str">
        <x:v>2024-07-01 15:33:13</x:v>
      </x:c>
      <x:c r="I97" s="54" t="str">
        <x:v>traceability-cache</x:v>
      </x:c>
      <x:c r="J97" s="54" t="str">
        <x:v>cache</x:v>
      </x:c>
      <x:c r="K97" s="88" t="n">
        <x:v>2300</x:v>
      </x:c>
      <x:c r="L97" s="60" t="n">
        <x:v>114.95</x:v>
      </x:c>
      <x:c r="M97" s="60" t="n">
        <x:v>1.553420833333337</x:v>
      </x:c>
      <x:c r="N97" s="60" t="n">
        <x:v>215.84</x:v>
      </x:c>
      <x:c r="O97" s="60" t="n">
        <x:v>14.797939397020835</x:v>
      </x:c>
      <x:c r="P97" s="60" t="n">
        <x:v>15.026009790062556</x:v>
      </x:c>
      <x:c r="Q97" s="60" t="n">
        <x:v>0.2280703930417203</x:v>
      </x:c>
      <x:c r="R97" s="63" t="n">
        <x:v>1.5412307546524764</x:v>
      </x:c>
    </x:row>
    <x:row r="98" ht="15.75" customHeight="1">
      <x:c r="A98" s="70" t="n">
        <x:v>5</x:v>
      </x:c>
      <x:c r="B98" s="54" t="str">
        <x:v>UP005_20240701_145202_R220</x:v>
      </x:c>
      <x:c r="C98" s="88" t="n">
        <x:v>19</x:v>
      </x:c>
      <x:c r="D98" s="54" t="str">
        <x:v>院士路-盎孟港</x:v>
      </x:c>
      <x:c r="E98" s="88" t="n">
        <x:v>4</x:v>
      </x:c>
      <x:c r="F98" s="88" t="n">
        <x:v>238</x:v>
      </x:c>
      <x:c r="G98" s="54" t="str">
        <x:v>2024-07-01 15:33:43</x:v>
      </x:c>
      <x:c r="H98" s="54" t="str">
        <x:v>2024-07-01 15:35:14</x:v>
      </x:c>
      <x:c r="I98" s="54" t="str">
        <x:v>traceability-cache</x:v>
      </x:c>
      <x:c r="J98" s="54" t="str">
        <x:v>cache</x:v>
      </x:c>
      <x:c r="K98" s="88" t="n">
        <x:v>1814</x:v>
      </x:c>
      <x:c r="L98" s="60" t="n">
        <x:v>90.65</x:v>
      </x:c>
      <x:c r="M98" s="60" t="n">
        <x:v>0.99470291666667</x:v>
      </x:c>
      <x:c r="N98" s="60" t="n">
        <x:v>215.64</x:v>
      </x:c>
      <x:c r="O98" s="60" t="n">
        <x:v>19.729053286902776</x:v>
      </x:c>
      <x:c r="P98" s="60" t="n">
        <x:v>19.871048236336016</x:v>
      </x:c>
      <x:c r="Q98" s="60" t="n">
        <x:v>0.1419949494332395</x:v>
      </x:c>
      <x:c r="R98" s="63" t="n">
        <x:v>0.7197251047393314</x:v>
      </x:c>
    </x:row>
    <x:row r="99" ht="15.75" customHeight="1">
      <x:c r="A99" s="70" t="n">
        <x:v>5</x:v>
      </x:c>
      <x:c r="B99" s="54" t="str">
        <x:v>UP005_20240701_145202_R220</x:v>
      </x:c>
      <x:c r="C99" s="88" t="n">
        <x:v>20</x:v>
      </x:c>
      <x:c r="D99" s="54" t="str">
        <x:v>盎孟港-三官堂</x:v>
      </x:c>
      <x:c r="E99" s="88" t="n">
        <x:v>4</x:v>
      </x:c>
      <x:c r="F99" s="88" t="n">
        <x:v>239</x:v>
      </x:c>
      <x:c r="G99" s="54" t="str">
        <x:v>2024-07-01 15:35:44</x:v>
      </x:c>
      <x:c r="H99" s="54" t="str">
        <x:v>2024-07-01 15:38:00</x:v>
      </x:c>
      <x:c r="I99" s="54" t="str">
        <x:v>traceability-cache</x:v>
      </x:c>
      <x:c r="J99" s="54" t="str">
        <x:v>cache</x:v>
      </x:c>
      <x:c r="K99" s="88" t="n">
        <x:v>2732</x:v>
      </x:c>
      <x:c r="L99" s="60" t="n">
        <x:v>136.55</x:v>
      </x:c>
      <x:c r="M99" s="60" t="n">
        <x:v>1.878528749999997</x:v>
      </x:c>
      <x:c r="N99" s="60" t="n">
        <x:v>215.74</x:v>
      </x:c>
      <x:c r="O99" s="60" t="n">
        <x:v>17.019374215104165</x:v>
      </x:c>
      <x:c r="P99" s="60" t="n">
        <x:v>16.022814675438102</x:v>
      </x:c>
      <x:c r="Q99" s="60" t="n">
        <x:v>-0.9965595396660628</x:v>
      </x:c>
      <x:c r="R99" s="63" t="n">
        <x:v>-5.8554417281785085</x:v>
      </x:c>
    </x:row>
    <x:row r="100" ht="15.75" customHeight="1">
      <x:c r="A100" s="70" t="n">
        <x:v>5</x:v>
      </x:c>
      <x:c r="B100" s="54" t="str">
        <x:v>UP005_20240701_145202_R220</x:v>
      </x:c>
      <x:c r="C100" s="88" t="n">
        <x:v>21</x:v>
      </x:c>
      <x:c r="D100" s="54" t="str">
        <x:v>三官堂-兴庄路</x:v>
      </x:c>
      <x:c r="E100" s="88" t="n">
        <x:v>4</x:v>
      </x:c>
      <x:c r="F100" s="88" t="n">
        <x:v>240</x:v>
      </x:c>
      <x:c r="G100" s="54" t="str">
        <x:v>2024-07-01 15:38:34</x:v>
      </x:c>
      <x:c r="H100" s="54" t="str">
        <x:v>2024-07-01 15:40:19</x:v>
      </x:c>
      <x:c r="I100" s="54" t="str">
        <x:v>traceability-cache</x:v>
      </x:c>
      <x:c r="J100" s="54" t="str">
        <x:v>cache</x:v>
      </x:c>
      <x:c r="K100" s="88" t="n">
        <x:v>2100</x:v>
      </x:c>
      <x:c r="L100" s="60" t="n">
        <x:v>104.95</x:v>
      </x:c>
      <x:c r="M100" s="60" t="n">
        <x:v>1.080877222222221</x:v>
      </x:c>
      <x:c r="N100" s="60" t="n">
        <x:v>215.84</x:v>
      </x:c>
      <x:c r="O100" s="60" t="n">
        <x:v>10.566747129097225</x:v>
      </x:c>
      <x:c r="P100" s="60" t="n">
        <x:v>10.570146135659249</x:v>
      </x:c>
      <x:c r="Q100" s="60" t="n">
        <x:v>0.0033990065620218</x:v>
      </x:c>
      <x:c r="R100" s="63" t="n">
        <x:v>0.0321670095867269</x:v>
      </x:c>
    </x:row>
    <x:row r="101" ht="15.75" customHeight="1">
      <x:c r="A101" s="70" t="n">
        <x:v>5</x:v>
      </x:c>
      <x:c r="B101" s="54" t="str">
        <x:v>UP005_20240701_145202_R220</x:v>
      </x:c>
      <x:c r="C101" s="88" t="n">
        <x:v>22</x:v>
      </x:c>
      <x:c r="D101" s="54" t="str">
        <x:v>兴庄路-兴海南路</x:v>
      </x:c>
      <x:c r="E101" s="88" t="n">
        <x:v>4</x:v>
      </x:c>
      <x:c r="F101" s="88" t="n">
        <x:v>241</x:v>
      </x:c>
      <x:c r="G101" s="54" t="str">
        <x:v>2024-07-01 15:40:50</x:v>
      </x:c>
      <x:c r="H101" s="54" t="str">
        <x:v>2024-07-01 15:42:22</x:v>
      </x:c>
      <x:c r="I101" s="54" t="str">
        <x:v>traceability-cache</x:v>
      </x:c>
      <x:c r="J101" s="54" t="str">
        <x:v>cache</x:v>
      </x:c>
      <x:c r="K101" s="88" t="n">
        <x:v>1843</x:v>
      </x:c>
      <x:c r="L101" s="60" t="n">
        <x:v>92.1</x:v>
      </x:c>
      <x:c r="M101" s="60" t="n">
        <x:v>0.9587109722222206</x:v>
      </x:c>
      <x:c r="N101" s="60" t="n">
        <x:v>215.64</x:v>
      </x:c>
      <x:c r="O101" s="60" t="n">
        <x:v>11.051914118118054</x:v>
      </x:c>
      <x:c r="P101" s="60" t="n">
        <x:v>11.233640299517267</x:v>
      </x:c>
      <x:c r="Q101" s="60" t="n">
        <x:v>0.1817261813992136</x:v>
      </x:c>
      <x:c r="R101" s="63" t="n">
        <x:v>1.644295996666307</x:v>
      </x:c>
    </x:row>
    <x:row r="102" ht="15.75" customHeight="1">
      <x:c r="A102" s="70" t="n">
        <x:v>5</x:v>
      </x:c>
      <x:c r="B102" s="54" t="str">
        <x:v>UP005_20240701_145202_R220</x:v>
      </x:c>
      <x:c r="C102" s="88" t="n">
        <x:v>23</x:v>
      </x:c>
      <x:c r="D102" s="54" t="str">
        <x:v>兴海南路-梅堰</x:v>
      </x:c>
      <x:c r="E102" s="88" t="n">
        <x:v>4</x:v>
      </x:c>
      <x:c r="F102" s="88" t="n">
        <x:v>242</x:v>
      </x:c>
      <x:c r="G102" s="54" t="str">
        <x:v>2024-07-01 15:42:52</x:v>
      </x:c>
      <x:c r="H102" s="54" t="str">
        <x:v>2024-07-01 15:44:13</x:v>
      </x:c>
      <x:c r="I102" s="54" t="str">
        <x:v>traceability-cache</x:v>
      </x:c>
      <x:c r="J102" s="54" t="str">
        <x:v>cache</x:v>
      </x:c>
      <x:c r="K102" s="88" t="n">
        <x:v>1626</x:v>
      </x:c>
      <x:c r="L102" s="60" t="n">
        <x:v>81.25</x:v>
      </x:c>
      <x:c r="M102" s="60" t="n">
        <x:v>0.8337690277777792</x:v>
      </x:c>
      <x:c r="N102" s="60" t="n">
        <x:v>215.64</x:v>
      </x:c>
      <x:c r="O102" s="60" t="n">
        <x:v>12.047534933479165</x:v>
      </x:c>
      <x:c r="P102" s="60" t="n">
        <x:v>13.085351906446082</x:v>
      </x:c>
      <x:c r="Q102" s="60" t="n">
        <x:v>1.037816972966917</x:v>
      </x:c>
      <x:c r="R102" s="63" t="n">
        <x:v>8.614351223692278</x:v>
      </x:c>
    </x:row>
    <x:row r="103" ht="15.75" customHeight="1">
      <x:c r="A103" s="70" t="n">
        <x:v>5</x:v>
      </x:c>
      <x:c r="B103" s="54" t="str">
        <x:v>UP005_20240701_145202_R220</x:v>
      </x:c>
      <x:c r="C103" s="88" t="n">
        <x:v>24</x:v>
      </x:c>
      <x:c r="D103" s="54" t="str">
        <x:v>梅堰-永茂路</x:v>
      </x:c>
      <x:c r="E103" s="88" t="n">
        <x:v>3</x:v>
      </x:c>
      <x:c r="F103" s="88" t="n">
        <x:v>243</x:v>
      </x:c>
      <x:c r="G103" s="54" t="str">
        <x:v>2024-07-01 15:44:49</x:v>
      </x:c>
      <x:c r="H103" s="54" t="str">
        <x:v>2024-07-01 15:50:18</x:v>
      </x:c>
      <x:c r="I103" s="54" t="str">
        <x:v>traceability-cache</x:v>
      </x:c>
      <x:c r="J103" s="54" t="str">
        <x:v>cache</x:v>
      </x:c>
      <x:c r="K103" s="88" t="n">
        <x:v>6583</x:v>
      </x:c>
      <x:c r="L103" s="60" t="n">
        <x:v>329.1</x:v>
      </x:c>
      <x:c r="M103" s="60" t="n">
        <x:v>3.675895000000008</x:v>
      </x:c>
      <x:c r="N103" s="60" t="n">
        <x:v>215.34</x:v>
      </x:c>
      <x:c r="O103" s="60" t="n">
        <x:v>26.082744929229168</x:v>
      </x:c>
      <x:c r="P103" s="60" t="n">
        <x:v>25.63613480322539</x:v>
      </x:c>
      <x:c r="Q103" s="60" t="n">
        <x:v>-0.4466101260037794</x:v>
      </x:c>
      <x:c r="R103" s="63" t="n">
        <x:v>-1.7122819213068856</x:v>
      </x:c>
    </x:row>
    <x:row r="104" ht="15.75" customHeight="1">
      <x:c r="A104" s="70" t="n">
        <x:v>5</x:v>
      </x:c>
      <x:c r="B104" s="54" t="str">
        <x:v>UP005_20240701_145202_R220</x:v>
      </x:c>
      <x:c r="C104" s="88" t="n">
        <x:v>25</x:v>
      </x:c>
      <x:c r="D104" s="54" t="str">
        <x:v>永茂路-镇海大道</x:v>
      </x:c>
      <x:c r="E104" s="88" t="n">
        <x:v>4</x:v>
      </x:c>
      <x:c r="F104" s="88" t="n">
        <x:v>244</x:v>
      </x:c>
      <x:c r="G104" s="54" t="str">
        <x:v>2024-07-01 15:50:45</x:v>
      </x:c>
      <x:c r="H104" s="54" t="str">
        <x:v>2024-07-01 15:53:08</x:v>
      </x:c>
      <x:c r="I104" s="54" t="str">
        <x:v>traceability-cache</x:v>
      </x:c>
      <x:c r="J104" s="54" t="str">
        <x:v>cache</x:v>
      </x:c>
      <x:c r="K104" s="88" t="n">
        <x:v>2848</x:v>
      </x:c>
      <x:c r="L104" s="60" t="n">
        <x:v>142.35</x:v>
      </x:c>
      <x:c r="M104" s="60" t="n">
        <x:v>2.132205972222225</x:v>
      </x:c>
      <x:c r="N104" s="60" t="n">
        <x:v>215.44</x:v>
      </x:c>
      <x:c r="O104" s="60" t="n">
        <x:v>17.808470992479165</x:v>
      </x:c>
      <x:c r="P104" s="60" t="n">
        <x:v>17.45860122685616</x:v>
      </x:c>
      <x:c r="Q104" s="60" t="n">
        <x:v>-0.3498697656230033</x:v>
      </x:c>
      <x:c r="R104" s="63" t="n">
        <x:v>-1.964625518781256</x:v>
      </x:c>
    </x:row>
    <x:row r="105" ht="15.75" customHeight="1">
      <x:c r="A105" s="70" t="n">
        <x:v>5</x:v>
      </x:c>
      <x:c r="B105" s="54" t="str">
        <x:v>UP005_20240701_145202_R220</x:v>
      </x:c>
      <x:c r="C105" s="88" t="n">
        <x:v>26</x:v>
      </x:c>
      <x:c r="D105" s="54" t="str">
        <x:v>镇海大道-骆驼桥</x:v>
      </x:c>
      <x:c r="E105" s="88" t="n">
        <x:v>4</x:v>
      </x:c>
      <x:c r="F105" s="88" t="n">
        <x:v>245</x:v>
      </x:c>
      <x:c r="G105" s="54" t="str">
        <x:v>2024-07-01 15:53:36</x:v>
      </x:c>
      <x:c r="H105" s="54" t="str">
        <x:v>2024-07-01 15:55:32</x:v>
      </x:c>
      <x:c r="I105" s="54" t="str">
        <x:v>traceability-cache</x:v>
      </x:c>
      <x:c r="J105" s="54" t="str">
        <x:v>cache</x:v>
      </x:c>
      <x:c r="K105" s="88" t="n">
        <x:v>2333</x:v>
      </x:c>
      <x:c r="L105" s="60" t="n">
        <x:v>116.6</x:v>
      </x:c>
      <x:c r="M105" s="60" t="n">
        <x:v>1.59639680555556</x:v>
      </x:c>
      <x:c r="N105" s="60" t="n">
        <x:v>215.24</x:v>
      </x:c>
      <x:c r="O105" s="60" t="n">
        <x:v>19.865409671034723</x:v>
      </x:c>
      <x:c r="P105" s="60" t="n">
        <x:v>18.38849779734001</x:v>
      </x:c>
      <x:c r="Q105" s="60" t="n">
        <x:v>-1.4769118736947129</x:v>
      </x:c>
      <x:c r="R105" s="63" t="n">
        <x:v>-7.43459056798694</x:v>
      </x:c>
    </x:row>
    <x:row r="106" ht="15.75" customHeight="1">
      <x:c r="A106" s="70" t="n">
        <x:v>6</x:v>
      </x:c>
      <x:c r="B106" s="54" t="str">
        <x:v>UP006_20240701_171011_R274</x:v>
      </x:c>
      <x:c r="C106" s="88" t="n">
        <x:v>1</x:v>
      </x:c>
      <x:c r="D106" s="54" t="str">
        <x:v>布政-张家潭</x:v>
      </x:c>
      <x:c r="E106" s="88" t="n">
        <x:v>5</x:v>
      </x:c>
      <x:c r="F106" s="88" t="n">
        <x:v>274</x:v>
      </x:c>
      <x:c r="G106" s="54" t="str">
        <x:v>2024-07-01 17:10:11</x:v>
      </x:c>
      <x:c r="H106" s="54" t="str">
        <x:v>2024-07-01 17:12:08</x:v>
      </x:c>
      <x:c r="I106" s="54" t="str">
        <x:v>traceability-cache</x:v>
      </x:c>
      <x:c r="J106" s="54" t="str">
        <x:v>cache</x:v>
      </x:c>
      <x:c r="K106" s="88" t="n">
        <x:v>2347</x:v>
      </x:c>
      <x:c r="L106" s="60" t="n">
        <x:v>117.3</x:v>
      </x:c>
      <x:c r="M106" s="60" t="n">
        <x:v>1.428447361111113</x:v>
      </x:c>
      <x:c r="N106" s="60" t="n">
        <x:v>215.24</x:v>
      </x:c>
      <x:c r="O106" s="60" t="n">
        <x:v>13.15757374492361</x:v>
      </x:c>
      <x:c r="P106" s="60" t="n">
        <x:v>13.066415620531574</x:v>
      </x:c>
      <x:c r="Q106" s="60" t="n">
        <x:v>-0.0911581243920354</x:v>
      </x:c>
      <x:c r="R106" s="63" t="n">
        <x:v>-0.6928186469576554</x:v>
      </x:c>
    </x:row>
    <x:row r="107" ht="15.75" customHeight="1">
      <x:c r="A107" s="70" t="n">
        <x:v>6</x:v>
      </x:c>
      <x:c r="B107" s="54" t="str">
        <x:v>UP006_20240701_171011_R274</x:v>
      </x:c>
      <x:c r="C107" s="88" t="n">
        <x:v>2</x:v>
      </x:c>
      <x:c r="D107" s="54" t="str">
        <x:v>张家潭-同德路</x:v>
      </x:c>
      <x:c r="E107" s="88" t="n">
        <x:v>5</x:v>
      </x:c>
      <x:c r="F107" s="88" t="n">
        <x:v>275</x:v>
      </x:c>
      <x:c r="G107" s="54" t="str">
        <x:v>2024-07-01 17:12:38</x:v>
      </x:c>
      <x:c r="H107" s="54" t="str">
        <x:v>2024-07-01 17:15:08</x:v>
      </x:c>
      <x:c r="I107" s="54" t="str">
        <x:v>traceability-cache</x:v>
      </x:c>
      <x:c r="J107" s="54" t="str">
        <x:v>cache</x:v>
      </x:c>
      <x:c r="K107" s="88" t="n">
        <x:v>3014</x:v>
      </x:c>
      <x:c r="L107" s="60" t="n">
        <x:v>150.65</x:v>
      </x:c>
      <x:c r="M107" s="60" t="n">
        <x:v>2.020784861111111</x:v>
      </x:c>
      <x:c r="N107" s="60" t="n">
        <x:v>215.24</x:v>
      </x:c>
      <x:c r="O107" s="60" t="n">
        <x:v>17.544987480194447</x:v>
      </x:c>
      <x:c r="P107" s="60" t="n">
        <x:v>16.821612492916724</x:v>
      </x:c>
      <x:c r="Q107" s="60" t="n">
        <x:v>-0.7233749872777225</x:v>
      </x:c>
      <x:c r="R107" s="63" t="n">
        <x:v>-4.122972376550853</x:v>
      </x:c>
    </x:row>
    <x:row r="108" ht="15.75" customHeight="1">
      <x:c r="A108" s="70" t="n">
        <x:v>6</x:v>
      </x:c>
      <x:c r="B108" s="54" t="str">
        <x:v>UP006_20240701_171011_R274</x:v>
      </x:c>
      <x:c r="C108" s="88" t="n">
        <x:v>3</x:v>
      </x:c>
      <x:c r="D108" s="54" t="str">
        <x:v>同德路-石碶</x:v>
      </x:c>
      <x:c r="E108" s="88" t="n">
        <x:v>5</x:v>
      </x:c>
      <x:c r="F108" s="88" t="n">
        <x:v>276</x:v>
      </x:c>
      <x:c r="G108" s="54" t="str">
        <x:v>2024-07-01 17:15:38</x:v>
      </x:c>
      <x:c r="H108" s="54" t="str">
        <x:v>2024-07-01 17:17:24</x:v>
      </x:c>
      <x:c r="I108" s="54" t="str">
        <x:v>traceability-cache</x:v>
      </x:c>
      <x:c r="J108" s="54" t="str">
        <x:v>cache</x:v>
      </x:c>
      <x:c r="K108" s="88" t="n">
        <x:v>2106</x:v>
      </x:c>
      <x:c r="L108" s="60" t="n">
        <x:v>105.25</x:v>
      </x:c>
      <x:c r="M108" s="60" t="n">
        <x:v>1.331131944444442</x:v>
      </x:c>
      <x:c r="N108" s="60" t="n">
        <x:v>215.24</x:v>
      </x:c>
      <x:c r="O108" s="60" t="n">
        <x:v>15.22439238159722</x:v>
      </x:c>
      <x:c r="P108" s="60" t="n">
        <x:v>14.517737696359491</x:v>
      </x:c>
      <x:c r="Q108" s="60" t="n">
        <x:v>-0.7066546852377287</x:v>
      </x:c>
      <x:c r="R108" s="63" t="n">
        <x:v>-4.6415953262733245</x:v>
      </x:c>
    </x:row>
    <x:row r="109" ht="15.75" customHeight="1">
      <x:c r="A109" s="70" t="n">
        <x:v>6</x:v>
      </x:c>
      <x:c r="B109" s="54" t="str">
        <x:v>UP006_20240701_171011_R274</x:v>
      </x:c>
      <x:c r="C109" s="88" t="n">
        <x:v>4</x:v>
      </x:c>
      <x:c r="D109" s="54" t="str">
        <x:v>石碶-雅渡</x:v>
      </x:c>
      <x:c r="E109" s="88" t="n">
        <x:v>5</x:v>
      </x:c>
      <x:c r="F109" s="88" t="n">
        <x:v>277</x:v>
      </x:c>
      <x:c r="G109" s="54" t="str">
        <x:v>2024-07-01 17:17:58</x:v>
      </x:c>
      <x:c r="H109" s="54" t="str">
        <x:v>2024-07-01 17:19:17</x:v>
      </x:c>
      <x:c r="I109" s="54" t="str">
        <x:v>traceability-cache</x:v>
      </x:c>
      <x:c r="J109" s="54" t="str">
        <x:v>cache</x:v>
      </x:c>
      <x:c r="K109" s="88" t="n">
        <x:v>1576</x:v>
      </x:c>
      <x:c r="L109" s="60" t="n">
        <x:v>78.75</x:v>
      </x:c>
      <x:c r="M109" s="60" t="n">
        <x:v>0.8281427777777778</x:v>
      </x:c>
      <x:c r="N109" s="60" t="n">
        <x:v>216.44</x:v>
      </x:c>
      <x:c r="O109" s="60" t="n">
        <x:v>12.9399677644375</x:v>
      </x:c>
      <x:c r="P109" s="60" t="n">
        <x:v>13.41231998062062</x:v>
      </x:c>
      <x:c r="Q109" s="60" t="n">
        <x:v>0.4723522161831224</x:v>
      </x:c>
      <x:c r="R109" s="63" t="n">
        <x:v>3.650335339175056</x:v>
      </x:c>
    </x:row>
    <x:row r="110" ht="15.75" customHeight="1">
      <x:c r="A110" s="70" t="n">
        <x:v>6</x:v>
      </x:c>
      <x:c r="B110" s="54" t="str">
        <x:v>UP006_20240701_171011_R274</x:v>
      </x:c>
      <x:c r="C110" s="88" t="n">
        <x:v>5</x:v>
      </x:c>
      <x:c r="D110" s="54" t="str">
        <x:v>雅渡-庙堰</x:v>
      </x:c>
      <x:c r="E110" s="88" t="n">
        <x:v>5</x:v>
      </x:c>
      <x:c r="F110" s="88" t="n">
        <x:v>278</x:v>
      </x:c>
      <x:c r="G110" s="54" t="str">
        <x:v>2024-07-01 17:19:46</x:v>
      </x:c>
      <x:c r="H110" s="54" t="str">
        <x:v>2024-07-01 17:22:00</x:v>
      </x:c>
      <x:c r="I110" s="54" t="str">
        <x:v>traceability-cache</x:v>
      </x:c>
      <x:c r="J110" s="54" t="str">
        <x:v>cache</x:v>
      </x:c>
      <x:c r="K110" s="88" t="n">
        <x:v>2674</x:v>
      </x:c>
      <x:c r="L110" s="60" t="n">
        <x:v>133.65</x:v>
      </x:c>
      <x:c r="M110" s="60" t="n">
        <x:v>1.860465833333328</x:v>
      </x:c>
      <x:c r="N110" s="60" t="n">
        <x:v>216.74</x:v>
      </x:c>
      <x:c r="O110" s="60" t="n">
        <x:v>20.94058174471528</x:v>
      </x:c>
      <x:c r="P110" s="60" t="n">
        <x:v>20.54592282777971</x:v>
      </x:c>
      <x:c r="Q110" s="60" t="n">
        <x:v>-0.394658916935572</x:v>
      </x:c>
      <x:c r="R110" s="63" t="n">
        <x:v>-1.8846607116594127</x:v>
      </x:c>
    </x:row>
    <x:row r="111" ht="15.75" customHeight="1">
      <x:c r="A111" s="70" t="n">
        <x:v>6</x:v>
      </x:c>
      <x:c r="B111" s="54" t="str">
        <x:v>UP006_20240701_171011_R274</x:v>
      </x:c>
      <x:c r="C111" s="88" t="n">
        <x:v>6</x:v>
      </x:c>
      <x:c r="D111" s="54" t="str">
        <x:v>庙堰-钟公庙</x:v>
      </x:c>
      <x:c r="E111" s="88" t="n">
        <x:v>5</x:v>
      </x:c>
      <x:c r="F111" s="88" t="n">
        <x:v>279</x:v>
      </x:c>
      <x:c r="G111" s="54" t="str">
        <x:v>2024-07-01 17:22:30</x:v>
      </x:c>
      <x:c r="H111" s="54" t="str">
        <x:v>2024-07-01 17:24:05</x:v>
      </x:c>
      <x:c r="I111" s="54" t="str">
        <x:v>traceability-cache</x:v>
      </x:c>
      <x:c r="J111" s="54" t="str">
        <x:v>cache</x:v>
      </x:c>
      <x:c r="K111" s="88" t="n">
        <x:v>1891</x:v>
      </x:c>
      <x:c r="L111" s="60" t="n">
        <x:v>94.5</x:v>
      </x:c>
      <x:c r="M111" s="60" t="n">
        <x:v>1.087378472222224</x:v>
      </x:c>
      <x:c r="N111" s="60" t="n">
        <x:v>216.74</x:v>
      </x:c>
      <x:c r="O111" s="60" t="n">
        <x:v>15.968471399006946</x:v>
      </x:c>
      <x:c r="P111" s="60" t="n">
        <x:v>15.825967669876729</x:v>
      </x:c>
      <x:c r="Q111" s="60" t="n">
        <x:v>-0.142503729130216</x:v>
      </x:c>
      <x:c r="R111" s="63" t="n">
        <x:v>-0.8924068282395402</x:v>
      </x:c>
    </x:row>
    <x:row r="112" ht="15.75" customHeight="1">
      <x:c r="A112" s="70" t="n">
        <x:v>6</x:v>
      </x:c>
      <x:c r="B112" s="54" t="str">
        <x:v>UP006_20240701_171011_R274</x:v>
      </x:c>
      <x:c r="C112" s="88" t="n">
        <x:v>7</x:v>
      </x:c>
      <x:c r="D112" s="54" t="str">
        <x:v>钟公庙-鄞州区政府</x:v>
      </x:c>
      <x:c r="E112" s="88" t="n">
        <x:v>5</x:v>
      </x:c>
      <x:c r="F112" s="88" t="n">
        <x:v>280</x:v>
      </x:c>
      <x:c r="G112" s="54" t="str">
        <x:v>2024-07-01 17:24:34</x:v>
      </x:c>
      <x:c r="H112" s="54" t="str">
        <x:v>2024-07-01 17:26:04</x:v>
      </x:c>
      <x:c r="I112" s="54" t="str">
        <x:v>traceability-cache</x:v>
      </x:c>
      <x:c r="J112" s="54" t="str">
        <x:v>cache</x:v>
      </x:c>
      <x:c r="K112" s="88" t="n">
        <x:v>1783</x:v>
      </x:c>
      <x:c r="L112" s="60" t="n">
        <x:v>89.1</x:v>
      </x:c>
      <x:c r="M112" s="60" t="n">
        <x:v>0.984365972222224</x:v>
      </x:c>
      <x:c r="N112" s="60" t="n">
        <x:v>217.14</x:v>
      </x:c>
      <x:c r="O112" s="60" t="n">
        <x:v>13.551388090173608</x:v>
      </x:c>
      <x:c r="P112" s="60" t="n">
        <x:v>13.962513522270196</x:v>
      </x:c>
      <x:c r="Q112" s="60" t="n">
        <x:v>0.4111254320965854</x:v>
      </x:c>
      <x:c r="R112" s="63" t="n">
        <x:v>3.033825238867604</x:v>
      </x:c>
    </x:row>
    <x:row r="113" ht="15.75" customHeight="1">
      <x:c r="A113" s="70" t="n">
        <x:v>6</x:v>
      </x:c>
      <x:c r="B113" s="54" t="str">
        <x:v>UP006_20240701_171011_R274</x:v>
      </x:c>
      <x:c r="C113" s="88" t="n">
        <x:v>8</x:v>
      </x:c>
      <x:c r="D113" s="54" t="str">
        <x:v>鄞州区政府-钱湖南路</x:v>
      </x:c>
      <x:c r="E113" s="88" t="n">
        <x:v>5</x:v>
      </x:c>
      <x:c r="F113" s="88" t="n">
        <x:v>281</x:v>
      </x:c>
      <x:c r="G113" s="54" t="str">
        <x:v>2024-07-01 17:26:44</x:v>
      </x:c>
      <x:c r="H113" s="54" t="str">
        <x:v>2024-07-01 17:28:50</x:v>
      </x:c>
      <x:c r="I113" s="54" t="str">
        <x:v>traceability-cache</x:v>
      </x:c>
      <x:c r="J113" s="54" t="str">
        <x:v>cache</x:v>
      </x:c>
      <x:c r="K113" s="88" t="n">
        <x:v>2531</x:v>
      </x:c>
      <x:c r="L113" s="60" t="n">
        <x:v>126.5</x:v>
      </x:c>
      <x:c r="M113" s="60" t="n">
        <x:v>1.811707638888896</x:v>
      </x:c>
      <x:c r="N113" s="60" t="n">
        <x:v>220.12</x:v>
      </x:c>
      <x:c r="O113" s="60" t="n">
        <x:v>18.80325037281944</x:v>
      </x:c>
      <x:c r="P113" s="60" t="n">
        <x:v>17.70117783339484</x:v>
      </x:c>
      <x:c r="Q113" s="60" t="n">
        <x:v>-1.1020725394246</x:v>
      </x:c>
      <x:c r="R113" s="63" t="n">
        <x:v>-5.861074641742115</x:v>
      </x:c>
    </x:row>
    <x:row r="114" ht="15.75" customHeight="1">
      <x:c r="A114" s="70" t="n">
        <x:v>6</x:v>
      </x:c>
      <x:c r="B114" s="54" t="str">
        <x:v>UP006_20240701_171011_R274</x:v>
      </x:c>
      <x:c r="C114" s="88" t="n">
        <x:v>9</x:v>
      </x:c>
      <x:c r="D114" s="54" t="str">
        <x:v>钱湖南路-南高教园区</x:v>
      </x:c>
      <x:c r="E114" s="88" t="n">
        <x:v>5</x:v>
      </x:c>
      <x:c r="F114" s="88" t="n">
        <x:v>282</x:v>
      </x:c>
      <x:c r="G114" s="54" t="str">
        <x:v>2024-07-01 17:29:19</x:v>
      </x:c>
      <x:c r="H114" s="54" t="str">
        <x:v>2024-07-01 17:30:56</x:v>
      </x:c>
      <x:c r="I114" s="54" t="str">
        <x:v>traceability-cache</x:v>
      </x:c>
      <x:c r="J114" s="54" t="str">
        <x:v>cache</x:v>
      </x:c>
      <x:c r="K114" s="88" t="n">
        <x:v>1939</x:v>
      </x:c>
      <x:c r="L114" s="60" t="n">
        <x:v>96.9</x:v>
      </x:c>
      <x:c r="M114" s="60" t="n">
        <x:v>1.169257361111111</x:v>
      </x:c>
      <x:c r="N114" s="60" t="n">
        <x:v>220.72</x:v>
      </x:c>
      <x:c r="O114" s="60" t="n">
        <x:v>15.653368882743056</x:v>
      </x:c>
      <x:c r="P114" s="60" t="n">
        <x:v>15.751942617870975</x:v>
      </x:c>
      <x:c r="Q114" s="60" t="n">
        <x:v>0.0985737351279203</x:v>
      </x:c>
      <x:c r="R114" s="63" t="n">
        <x:v>0.629728564287476</x:v>
      </x:c>
    </x:row>
    <x:row r="115" ht="15.75" customHeight="1">
      <x:c r="A115" s="70" t="n">
        <x:v>6</x:v>
      </x:c>
      <x:c r="B115" s="54" t="str">
        <x:v>UP006_20240701_171011_R274</x:v>
      </x:c>
      <x:c r="C115" s="88" t="n">
        <x:v>10</x:v>
      </x:c>
      <x:c r="D115" s="54" t="str">
        <x:v>南高教园区-下应路</x:v>
      </x:c>
      <x:c r="E115" s="88" t="n">
        <x:v>5</x:v>
      </x:c>
      <x:c r="F115" s="88" t="n">
        <x:v>283</x:v>
      </x:c>
      <x:c r="G115" s="54" t="str">
        <x:v>2024-07-01 17:31:31</x:v>
      </x:c>
      <x:c r="H115" s="54" t="str">
        <x:v>2024-07-01 17:33:21</x:v>
      </x:c>
      <x:c r="I115" s="54" t="str">
        <x:v>traceability-cache</x:v>
      </x:c>
      <x:c r="J115" s="54" t="str">
        <x:v>cache</x:v>
      </x:c>
      <x:c r="K115" s="88" t="n">
        <x:v>2207</x:v>
      </x:c>
      <x:c r="L115" s="60" t="n">
        <x:v>110.3</x:v>
      </x:c>
      <x:c r="M115" s="60" t="n">
        <x:v>1.4515716666666632</x:v>
      </x:c>
      <x:c r="N115" s="60" t="n">
        <x:v>220.9</x:v>
      </x:c>
      <x:c r="O115" s="60" t="n">
        <x:v>20.574150922993056</x:v>
      </x:c>
      <x:c r="P115" s="60" t="n">
        <x:v>19.194197612251443</x:v>
      </x:c>
      <x:c r="Q115" s="60" t="n">
        <x:v>-1.3799533107416138</x:v>
      </x:c>
      <x:c r="R115" s="63" t="n">
        <x:v>-6.707218761574356</x:v>
      </x:c>
    </x:row>
    <x:row r="116" ht="15.75" customHeight="1">
      <x:c r="A116" s="70" t="n">
        <x:v>6</x:v>
      </x:c>
      <x:c r="B116" s="54" t="str">
        <x:v>UP006_20240701_171011_R274</x:v>
      </x:c>
      <x:c r="C116" s="88" t="n">
        <x:v>11</x:v>
      </x:c>
      <x:c r="D116" s="54" t="str">
        <x:v>下应路-大洋江</x:v>
      </x:c>
      <x:c r="E116" s="88" t="n">
        <x:v>5</x:v>
      </x:c>
      <x:c r="F116" s="88" t="n">
        <x:v>284</x:v>
      </x:c>
      <x:c r="G116" s="54" t="str">
        <x:v>2024-07-01 17:33:51</x:v>
      </x:c>
      <x:c r="H116" s="54" t="str">
        <x:v>2024-07-01 17:35:33</x:v>
      </x:c>
      <x:c r="I116" s="54" t="str">
        <x:v>traceability-cache</x:v>
      </x:c>
      <x:c r="J116" s="54" t="str">
        <x:v>cache</x:v>
      </x:c>
      <x:c r="K116" s="88" t="n">
        <x:v>2036</x:v>
      </x:c>
      <x:c r="L116" s="60" t="n">
        <x:v>101.75</x:v>
      </x:c>
      <x:c r="M116" s="60" t="n">
        <x:v>1.213797361111112</x:v>
      </x:c>
      <x:c r="N116" s="60" t="n">
        <x:v>220.6</x:v>
      </x:c>
      <x:c r="O116" s="60" t="n">
        <x:v>14.998700675194444</x:v>
      </x:c>
      <x:c r="P116" s="60" t="n">
        <x:v>14.771166501086762</x:v>
      </x:c>
      <x:c r="Q116" s="60" t="n">
        <x:v>-0.2275341741076827</x:v>
      </x:c>
      <x:c r="R116" s="63" t="n">
        <x:v>-1.517025901343504</x:v>
      </x:c>
    </x:row>
    <x:row r="117" ht="15.75" customHeight="1">
      <x:c r="A117" s="70" t="n">
        <x:v>6</x:v>
      </x:c>
      <x:c r="B117" s="54" t="str">
        <x:v>UP006_20240701_171011_R274</x:v>
      </x:c>
      <x:c r="C117" s="88" t="n">
        <x:v>12</x:v>
      </x:c>
      <x:c r="D117" s="54" t="str">
        <x:v>大洋江-泗港</x:v>
      </x:c>
      <x:c r="E117" s="88" t="n">
        <x:v>5</x:v>
      </x:c>
      <x:c r="F117" s="88" t="n">
        <x:v>285</x:v>
      </x:c>
      <x:c r="G117" s="54" t="str">
        <x:v>2024-07-01 17:36:02</x:v>
      </x:c>
      <x:c r="H117" s="54" t="str">
        <x:v>2024-07-01 17:37:34</x:v>
      </x:c>
      <x:c r="I117" s="54" t="str">
        <x:v>traceability-cache</x:v>
      </x:c>
      <x:c r="J117" s="54" t="str">
        <x:v>cache</x:v>
      </x:c>
      <x:c r="K117" s="88" t="n">
        <x:v>1826</x:v>
      </x:c>
      <x:c r="L117" s="60" t="n">
        <x:v>91.25</x:v>
      </x:c>
      <x:c r="M117" s="60" t="n">
        <x:v>0.9589997222222224</x:v>
      </x:c>
      <x:c r="N117" s="60" t="n">
        <x:v>220.5</x:v>
      </x:c>
      <x:c r="O117" s="60" t="n">
        <x:v>12.113815191611112</x:v>
      </x:c>
      <x:c r="P117" s="60" t="n">
        <x:v>12.169604088605505</x:v>
      </x:c>
      <x:c r="Q117" s="60" t="n">
        <x:v>0.0557888969943924</x:v>
      </x:c>
      <x:c r="R117" s="63" t="n">
        <x:v>0.460539442875326</x:v>
      </x:c>
    </x:row>
    <x:row r="118" ht="15.75" customHeight="1">
      <x:c r="A118" s="70" t="n">
        <x:v>6</x:v>
      </x:c>
      <x:c r="B118" s="54" t="str">
        <x:v>UP006_20240701_171011_R274</x:v>
      </x:c>
      <x:c r="C118" s="88" t="n">
        <x:v>13</x:v>
      </x:c>
      <x:c r="D118" s="54" t="str">
        <x:v>泗港-曹隘</x:v>
      </x:c>
      <x:c r="E118" s="88" t="n">
        <x:v>5</x:v>
      </x:c>
      <x:c r="F118" s="88" t="n">
        <x:v>286</x:v>
      </x:c>
      <x:c r="G118" s="54" t="str">
        <x:v>2024-07-01 17:38:03</x:v>
      </x:c>
      <x:c r="H118" s="54" t="str">
        <x:v>2024-07-01 17:40:17</x:v>
      </x:c>
      <x:c r="I118" s="54" t="str">
        <x:v>traceability-cache</x:v>
      </x:c>
      <x:c r="J118" s="54" t="str">
        <x:v>cache</x:v>
      </x:c>
      <x:c r="K118" s="88" t="n">
        <x:v>2680</x:v>
      </x:c>
      <x:c r="L118" s="60" t="n">
        <x:v>133.95</x:v>
      </x:c>
      <x:c r="M118" s="60" t="n">
        <x:v>1.798582500000004</x:v>
      </x:c>
      <x:c r="N118" s="60" t="n">
        <x:v>222.4</x:v>
      </x:c>
      <x:c r="O118" s="60" t="n">
        <x:v>23.56321350504167</x:v>
      </x:c>
      <x:c r="P118" s="60" t="n">
        <x:v>23.871656427570382</x:v>
      </x:c>
      <x:c r="Q118" s="60" t="n">
        <x:v>0.3084429225287167</x:v>
      </x:c>
      <x:c r="R118" s="63" t="n">
        <x:v>1.3090019426370736</x:v>
      </x:c>
    </x:row>
    <x:row r="119" ht="15.75" customHeight="1">
      <x:c r="A119" s="70" t="n">
        <x:v>6</x:v>
      </x:c>
      <x:c r="B119" s="54" t="str">
        <x:v>UP006_20240701_171011_R274</x:v>
      </x:c>
      <x:c r="C119" s="88" t="n">
        <x:v>14</x:v>
      </x:c>
      <x:c r="D119" s="54" t="str">
        <x:v>曹隘-柳隘</x:v>
      </x:c>
      <x:c r="E119" s="88" t="n">
        <x:v>5</x:v>
      </x:c>
      <x:c r="F119" s="88" t="n">
        <x:v>287</x:v>
      </x:c>
      <x:c r="G119" s="54" t="str">
        <x:v>2024-07-01 17:40:48</x:v>
      </x:c>
      <x:c r="H119" s="54" t="str">
        <x:v>2024-07-01 17:42:34</x:v>
      </x:c>
      <x:c r="I119" s="54" t="str">
        <x:v>traceability-cache</x:v>
      </x:c>
      <x:c r="J119" s="54" t="str">
        <x:v>cache</x:v>
      </x:c>
      <x:c r="K119" s="88" t="n">
        <x:v>2133</x:v>
      </x:c>
      <x:c r="L119" s="60" t="n">
        <x:v>106.6</x:v>
      </x:c>
      <x:c r="M119" s="60" t="n">
        <x:v>1.30672263888889</x:v>
      </x:c>
      <x:c r="N119" s="60" t="n">
        <x:v>222.2</x:v>
      </x:c>
      <x:c r="O119" s="60" t="n">
        <x:v>21.548440432513885</x:v>
      </x:c>
      <x:c r="P119" s="60" t="n">
        <x:v>22.58407924895201</x:v>
      </x:c>
      <x:c r="Q119" s="60" t="n">
        <x:v>1.0356388164381245</x:v>
      </x:c>
      <x:c r="R119" s="63" t="n">
        <x:v>4.806096384012439</x:v>
      </x:c>
    </x:row>
    <x:row r="120" ht="15.75" customHeight="1">
      <x:c r="A120" s="70" t="n">
        <x:v>6</x:v>
      </x:c>
      <x:c r="B120" s="54" t="str">
        <x:v>UP006_20240701_171011_R274</x:v>
      </x:c>
      <x:c r="C120" s="88" t="n">
        <x:v>15</x:v>
      </x:c>
      <x:c r="D120" s="54" t="str">
        <x:v>柳隘-海晏北路</x:v>
      </x:c>
      <x:c r="E120" s="88" t="n">
        <x:v>5</x:v>
      </x:c>
      <x:c r="F120" s="88" t="n">
        <x:v>288</x:v>
      </x:c>
      <x:c r="G120" s="54" t="str">
        <x:v>2024-07-01 17:43:04</x:v>
      </x:c>
      <x:c r="H120" s="54" t="str">
        <x:v>2024-07-01 17:44:33</x:v>
      </x:c>
      <x:c r="I120" s="54" t="str">
        <x:v>traceability-cache</x:v>
      </x:c>
      <x:c r="J120" s="54" t="str">
        <x:v>cache</x:v>
      </x:c>
      <x:c r="K120" s="88" t="n">
        <x:v>1780</x:v>
      </x:c>
      <x:c r="L120" s="60" t="n">
        <x:v>88.95</x:v>
      </x:c>
      <x:c r="M120" s="60" t="n">
        <x:v>0.9823129166666684</x:v>
      </x:c>
      <x:c r="N120" s="60" t="n">
        <x:v>222.9</x:v>
      </x:c>
      <x:c r="O120" s="60" t="n">
        <x:v>15.180261521090276</x:v>
      </x:c>
      <x:c r="P120" s="60" t="n">
        <x:v>15.592637375961942</x:v>
      </x:c>
      <x:c r="Q120" s="60" t="n">
        <x:v>0.412375854871665</x:v>
      </x:c>
      <x:c r="R120" s="63" t="n">
        <x:v>2.71652668367236</x:v>
      </x:c>
    </x:row>
    <x:row r="121" ht="15.75" customHeight="1">
      <x:c r="A121" s="70" t="n">
        <x:v>6</x:v>
      </x:c>
      <x:c r="B121" s="54" t="str">
        <x:v>UP006_20240701_171011_R274</x:v>
      </x:c>
      <x:c r="C121" s="88" t="n">
        <x:v>16</x:v>
      </x:c>
      <x:c r="D121" s="54" t="str">
        <x:v>海晏北路-民安东路</x:v>
      </x:c>
      <x:c r="E121" s="88" t="n">
        <x:v>5</x:v>
      </x:c>
      <x:c r="F121" s="88" t="n">
        <x:v>289</x:v>
      </x:c>
      <x:c r="G121" s="54" t="str">
        <x:v>2024-07-01 17:45:18</x:v>
      </x:c>
      <x:c r="H121" s="54" t="str">
        <x:v>2024-07-01 17:46:42</x:v>
      </x:c>
      <x:c r="I121" s="54" t="str">
        <x:v>traceability-cache</x:v>
      </x:c>
      <x:c r="J121" s="54" t="str">
        <x:v>cache</x:v>
      </x:c>
      <x:c r="K121" s="88" t="n">
        <x:v>1677</x:v>
      </x:c>
      <x:c r="L121" s="60" t="n">
        <x:v>83.8</x:v>
      </x:c>
      <x:c r="M121" s="60" t="n">
        <x:v>0.8649322222222211</x:v>
      </x:c>
      <x:c r="N121" s="60" t="n">
        <x:v>225.2</x:v>
      </x:c>
      <x:c r="O121" s="60" t="n">
        <x:v>16.392013358229168</x:v>
      </x:c>
      <x:c r="P121" s="60" t="n">
        <x:v>16.699610012452116</x:v>
      </x:c>
      <x:c r="Q121" s="60" t="n">
        <x:v>0.3075966542229471</x:v>
      </x:c>
      <x:c r="R121" s="63" t="n">
        <x:v>1.876503193968705</x:v>
      </x:c>
    </x:row>
    <x:row r="122" ht="15.75" customHeight="1">
      <x:c r="A122" s="70" t="n">
        <x:v>6</x:v>
      </x:c>
      <x:c r="B122" s="54" t="str">
        <x:v>UP006_20240701_171011_R274</x:v>
      </x:c>
      <x:c r="C122" s="88" t="n">
        <x:v>17</x:v>
      </x:c>
      <x:c r="D122" s="54" t="str">
        <x:v>民安东路-会展中心</x:v>
      </x:c>
      <x:c r="E122" s="88" t="n">
        <x:v>5</x:v>
      </x:c>
      <x:c r="F122" s="88" t="n">
        <x:v>290</x:v>
      </x:c>
      <x:c r="G122" s="54" t="str">
        <x:v>2024-07-01 17:47:12</x:v>
      </x:c>
      <x:c r="H122" s="54" t="str">
        <x:v>2024-07-01 17:48:29</x:v>
      </x:c>
      <x:c r="I122" s="54" t="str">
        <x:v>traceability-cache</x:v>
      </x:c>
      <x:c r="J122" s="54" t="str">
        <x:v>cache</x:v>
      </x:c>
      <x:c r="K122" s="88" t="n">
        <x:v>1535</x:v>
      </x:c>
      <x:c r="L122" s="60" t="n">
        <x:v>76.7</x:v>
      </x:c>
      <x:c r="M122" s="60" t="n">
        <x:v>0.7255569444444435</x:v>
      </x:c>
      <x:c r="N122" s="60" t="n">
        <x:v>230</x:v>
      </x:c>
      <x:c r="O122" s="60" t="n">
        <x:v>14.197151550631949</x:v>
      </x:c>
      <x:c r="P122" s="60" t="n">
        <x:v>14.42667736279904</x:v>
      </x:c>
      <x:c r="Q122" s="60" t="n">
        <x:v>0.2295258121670922</x:v>
      </x:c>
      <x:c r="R122" s="63" t="n">
        <x:v>1.61670326155584</x:v>
      </x:c>
    </x:row>
    <x:row r="123" ht="15.75" customHeight="1">
      <x:c r="A123" s="70" t="n">
        <x:v>6</x:v>
      </x:c>
      <x:c r="B123" s="54" t="str">
        <x:v>UP006_20240701_171011_R274</x:v>
      </x:c>
      <x:c r="C123" s="88" t="n">
        <x:v>18</x:v>
      </x:c>
      <x:c r="D123" s="54" t="str">
        <x:v>会展中心-院士路</x:v>
      </x:c>
      <x:c r="E123" s="88" t="n">
        <x:v>5</x:v>
      </x:c>
      <x:c r="F123" s="88" t="n">
        <x:v>291</x:v>
      </x:c>
      <x:c r="G123" s="54" t="str">
        <x:v>2024-07-01 17:48:59</x:v>
      </x:c>
      <x:c r="H123" s="54" t="str">
        <x:v>2024-07-01 17:50:53</x:v>
      </x:c>
      <x:c r="I123" s="54" t="str">
        <x:v>traceability-cache</x:v>
      </x:c>
      <x:c r="J123" s="54" t="str">
        <x:v>cache</x:v>
      </x:c>
      <x:c r="K123" s="88" t="n">
        <x:v>2288</x:v>
      </x:c>
      <x:c r="L123" s="60" t="n">
        <x:v>114.35</x:v>
      </x:c>
      <x:c r="M123" s="60" t="n">
        <x:v>1.551676666666666</x:v>
      </x:c>
      <x:c r="N123" s="60" t="n">
        <x:v>230.7</x:v>
      </x:c>
      <x:c r="O123" s="60" t="n">
        <x:v>15.905118916284724</x:v>
      </x:c>
      <x:c r="P123" s="60" t="n">
        <x:v>16.058192585587715</x:v>
      </x:c>
      <x:c r="Q123" s="60" t="n">
        <x:v>0.1530736693029921</x:v>
      </x:c>
      <x:c r="R123" s="63" t="n">
        <x:v>0.962417634905358</x:v>
      </x:c>
    </x:row>
    <x:row r="124" ht="15.75" customHeight="1">
      <x:c r="A124" s="70" t="n">
        <x:v>6</x:v>
      </x:c>
      <x:c r="B124" s="54" t="str">
        <x:v>UP006_20240701_171011_R274</x:v>
      </x:c>
      <x:c r="C124" s="88" t="n">
        <x:v>19</x:v>
      </x:c>
      <x:c r="D124" s="54" t="str">
        <x:v>院士路-盎孟港</x:v>
      </x:c>
      <x:c r="E124" s="88" t="n">
        <x:v>5</x:v>
      </x:c>
      <x:c r="F124" s="88" t="n">
        <x:v>292</x:v>
      </x:c>
      <x:c r="G124" s="54" t="str">
        <x:v>2024-07-01 17:51:22</x:v>
      </x:c>
      <x:c r="H124" s="54" t="str">
        <x:v>2024-07-01 17:52:52</x:v>
      </x:c>
      <x:c r="I124" s="54" t="str">
        <x:v>traceability-cache</x:v>
      </x:c>
      <x:c r="J124" s="54" t="str">
        <x:v>cache</x:v>
      </x:c>
      <x:c r="K124" s="88" t="n">
        <x:v>1801</x:v>
      </x:c>
      <x:c r="L124" s="60" t="n">
        <x:v>90</x:v>
      </x:c>
      <x:c r="M124" s="60" t="n">
        <x:v>0.9947756944444424</x:v>
      </x:c>
      <x:c r="N124" s="60" t="n">
        <x:v>230.3</x:v>
      </x:c>
      <x:c r="O124" s="60" t="n">
        <x:v>20.392669720534723</x:v>
      </x:c>
      <x:c r="P124" s="60" t="n">
        <x:v>20.422636149951963</x:v>
      </x:c>
      <x:c r="Q124" s="60" t="n">
        <x:v>0.0299664294172398</x:v>
      </x:c>
      <x:c r="R124" s="63" t="n">
        <x:v>0.1469470639592847</x:v>
      </x:c>
    </x:row>
    <x:row r="125" ht="15.75" customHeight="1">
      <x:c r="A125" s="70" t="n">
        <x:v>6</x:v>
      </x:c>
      <x:c r="B125" s="54" t="str">
        <x:v>UP006_20240701_171011_R274</x:v>
      </x:c>
      <x:c r="C125" s="88" t="n">
        <x:v>20</x:v>
      </x:c>
      <x:c r="D125" s="54" t="str">
        <x:v>盎孟港-三官堂</x:v>
      </x:c>
      <x:c r="E125" s="88" t="n">
        <x:v>5</x:v>
      </x:c>
      <x:c r="F125" s="88" t="n">
        <x:v>293</x:v>
      </x:c>
      <x:c r="G125" s="54" t="str">
        <x:v>2024-07-01 17:53:22</x:v>
      </x:c>
      <x:c r="H125" s="54" t="str">
        <x:v>2024-07-01 17:55:33</x:v>
      </x:c>
      <x:c r="I125" s="54" t="str">
        <x:v>traceability-cache</x:v>
      </x:c>
      <x:c r="J125" s="54" t="str">
        <x:v>cache</x:v>
      </x:c>
      <x:c r="K125" s="88" t="n">
        <x:v>2613</x:v>
      </x:c>
      <x:c r="L125" s="60" t="n">
        <x:v>130.6</x:v>
      </x:c>
      <x:c r="M125" s="60" t="n">
        <x:v>1.878439583333331</x:v>
      </x:c>
      <x:c r="N125" s="60" t="n">
        <x:v>229.2</x:v>
      </x:c>
      <x:c r="O125" s="60" t="n">
        <x:v>20.078491397118057</x:v>
      </x:c>
      <x:c r="P125" s="60" t="n">
        <x:v>18.91237125329825</x:v>
      </x:c>
      <x:c r="Q125" s="60" t="n">
        <x:v>-1.1661201438198077</x:v>
      </x:c>
      <x:c r="R125" s="63" t="n">
        <x:v>-5.807807572570843</x:v>
      </x:c>
    </x:row>
    <x:row r="126" ht="15.75" customHeight="1">
      <x:c r="A126" s="70" t="n">
        <x:v>6</x:v>
      </x:c>
      <x:c r="B126" s="54" t="str">
        <x:v>UP006_20240701_171011_R274</x:v>
      </x:c>
      <x:c r="C126" s="88" t="n">
        <x:v>21</x:v>
      </x:c>
      <x:c r="D126" s="54" t="str">
        <x:v>三官堂-兴庄路</x:v>
      </x:c>
      <x:c r="E126" s="88" t="n">
        <x:v>5</x:v>
      </x:c>
      <x:c r="F126" s="88" t="n">
        <x:v>294</x:v>
      </x:c>
      <x:c r="G126" s="54" t="str">
        <x:v>2024-07-01 17:56:03</x:v>
      </x:c>
      <x:c r="H126" s="54" t="str">
        <x:v>2024-07-01 17:57:41</x:v>
      </x:c>
      <x:c r="I126" s="54" t="str">
        <x:v>traceability-cache</x:v>
      </x:c>
      <x:c r="J126" s="54" t="str">
        <x:v>cache</x:v>
      </x:c>
      <x:c r="K126" s="88" t="n">
        <x:v>1963</x:v>
      </x:c>
      <x:c r="L126" s="60" t="n">
        <x:v>98.1</x:v>
      </x:c>
      <x:c r="M126" s="60" t="n">
        <x:v>1.080586805555553</x:v>
      </x:c>
      <x:c r="N126" s="60" t="n">
        <x:v>223.7</x:v>
      </x:c>
      <x:c r="O126" s="60" t="n">
        <x:v>11.60436600561111</x:v>
      </x:c>
      <x:c r="P126" s="60" t="n">
        <x:v>11.792135013021484</x:v>
      </x:c>
      <x:c r="Q126" s="60" t="n">
        <x:v>0.1877690074103739</x:v>
      </x:c>
      <x:c r="R126" s="63" t="n">
        <x:v>1.618089323618206</x:v>
      </x:c>
    </x:row>
    <x:row r="127" ht="15.75" customHeight="1">
      <x:c r="A127" s="70" t="n">
        <x:v>6</x:v>
      </x:c>
      <x:c r="B127" s="54" t="str">
        <x:v>UP006_20240701_171011_R274</x:v>
      </x:c>
      <x:c r="C127" s="88" t="n">
        <x:v>22</x:v>
      </x:c>
      <x:c r="D127" s="54" t="str">
        <x:v>兴庄路-兴海南路</x:v>
      </x:c>
      <x:c r="E127" s="88" t="n">
        <x:v>5</x:v>
      </x:c>
      <x:c r="F127" s="88" t="n">
        <x:v>295</x:v>
      </x:c>
      <x:c r="G127" s="54" t="str">
        <x:v>2024-07-01 17:58:11</x:v>
      </x:c>
      <x:c r="H127" s="54" t="str">
        <x:v>2024-07-01 17:59:40</x:v>
      </x:c>
      <x:c r="I127" s="54" t="str">
        <x:v>traceability-cache</x:v>
      </x:c>
      <x:c r="J127" s="54" t="str">
        <x:v>cache</x:v>
      </x:c>
      <x:c r="K127" s="88" t="n">
        <x:v>1769</x:v>
      </x:c>
      <x:c r="L127" s="60" t="n">
        <x:v>88.4</x:v>
      </x:c>
      <x:c r="M127" s="60" t="n">
        <x:v>0.959417083333333</x:v>
      </x:c>
      <x:c r="N127" s="60" t="n">
        <x:v>218.2</x:v>
      </x:c>
      <x:c r="O127" s="60" t="n">
        <x:v>14.994035663895833</x:v>
      </x:c>
      <x:c r="P127" s="60" t="n">
        <x:v>15.121802769710357</x:v>
      </x:c>
      <x:c r="Q127" s="60" t="n">
        <x:v>0.1277671058145224</x:v>
      </x:c>
      <x:c r="R127" s="63" t="n">
        <x:v>0.8521195272475782</x:v>
      </x:c>
    </x:row>
    <x:row r="128" ht="15.75" customHeight="1">
      <x:c r="A128" s="70" t="n">
        <x:v>6</x:v>
      </x:c>
      <x:c r="B128" s="54" t="str">
        <x:v>UP006_20240701_171011_R274</x:v>
      </x:c>
      <x:c r="C128" s="88" t="n">
        <x:v>23</x:v>
      </x:c>
      <x:c r="D128" s="54" t="str">
        <x:v>兴海南路-梅堰</x:v>
      </x:c>
      <x:c r="E128" s="88" t="n">
        <x:v>5</x:v>
      </x:c>
      <x:c r="F128" s="88" t="n">
        <x:v>296</x:v>
      </x:c>
      <x:c r="G128" s="54" t="str">
        <x:v>2024-07-01 18:00:07</x:v>
      </x:c>
      <x:c r="H128" s="54" t="str">
        <x:v>2024-07-01 18:01:29</x:v>
      </x:c>
      <x:c r="I128" s="54" t="str">
        <x:v>traceability-cache</x:v>
      </x:c>
      <x:c r="J128" s="54" t="str">
        <x:v>cache</x:v>
      </x:c>
      <x:c r="K128" s="88" t="n">
        <x:v>1628</x:v>
      </x:c>
      <x:c r="L128" s="60" t="n">
        <x:v>81.35</x:v>
      </x:c>
      <x:c r="M128" s="60" t="n">
        <x:v>0.834256805555555</x:v>
      </x:c>
      <x:c r="N128" s="60" t="n">
        <x:v>216.72</x:v>
      </x:c>
      <x:c r="O128" s="60" t="n">
        <x:v>13.391913918805557</x:v>
      </x:c>
      <x:c r="P128" s="60" t="n">
        <x:v>13.976865649961102</x:v>
      </x:c>
      <x:c r="Q128" s="60" t="n">
        <x:v>0.5849517311555482</x:v>
      </x:c>
      <x:c r="R128" s="63" t="n">
        <x:v>4.367947215775719</x:v>
      </x:c>
    </x:row>
    <x:row r="129" ht="15.75" customHeight="1">
      <x:c r="A129" s="70" t="n">
        <x:v>6</x:v>
      </x:c>
      <x:c r="B129" s="54" t="str">
        <x:v>UP006_20240701_171011_R274</x:v>
      </x:c>
      <x:c r="C129" s="88" t="n">
        <x:v>24</x:v>
      </x:c>
      <x:c r="D129" s="54" t="str">
        <x:v>梅堰-永茂路</x:v>
      </x:c>
      <x:c r="E129" s="88" t="n">
        <x:v>4</x:v>
      </x:c>
      <x:c r="F129" s="88" t="n">
        <x:v>297</x:v>
      </x:c>
      <x:c r="G129" s="54" t="str">
        <x:v>2024-07-01 18:01:58</x:v>
      </x:c>
      <x:c r="H129" s="54" t="str">
        <x:v>2024-07-01 18:07:16</x:v>
      </x:c>
      <x:c r="I129" s="54" t="str">
        <x:v>traceability-cache</x:v>
      </x:c>
      <x:c r="J129" s="54" t="str">
        <x:v>cache</x:v>
      </x:c>
      <x:c r="K129" s="88" t="n">
        <x:v>6366</x:v>
      </x:c>
      <x:c r="L129" s="60" t="n">
        <x:v>318.25</x:v>
      </x:c>
      <x:c r="M129" s="60" t="n">
        <x:v>3.6767472222222266</x:v>
      </x:c>
      <x:c r="N129" s="60" t="n">
        <x:v>216.92</x:v>
      </x:c>
      <x:c r="O129" s="60" t="n">
        <x:v>29.025224951236112</x:v>
      </x:c>
      <x:c r="P129" s="60" t="n">
        <x:v>28.282917518956623</x:v>
      </x:c>
      <x:c r="Q129" s="60" t="n">
        <x:v>-0.7423074322794891</x:v>
      </x:c>
      <x:c r="R129" s="63" t="n">
        <x:v>-2.5574562592593315</x:v>
      </x:c>
    </x:row>
    <x:row r="130" ht="15.75" customHeight="1">
      <x:c r="A130" s="70" t="n">
        <x:v>6</x:v>
      </x:c>
      <x:c r="B130" s="54" t="str">
        <x:v>UP006_20240701_171011_R274</x:v>
      </x:c>
      <x:c r="C130" s="88" t="n">
        <x:v>25</x:v>
      </x:c>
      <x:c r="D130" s="54" t="str">
        <x:v>永茂路-镇海大道</x:v>
      </x:c>
      <x:c r="E130" s="88" t="n">
        <x:v>5</x:v>
      </x:c>
      <x:c r="F130" s="88" t="n">
        <x:v>298</x:v>
      </x:c>
      <x:c r="G130" s="54" t="str">
        <x:v>2024-07-01 18:07:44</x:v>
      </x:c>
      <x:c r="H130" s="54" t="str">
        <x:v>2024-07-01 18:10:06</x:v>
      </x:c>
      <x:c r="I130" s="54" t="str">
        <x:v>traceability-cache</x:v>
      </x:c>
      <x:c r="J130" s="54" t="str">
        <x:v>cache</x:v>
      </x:c>
      <x:c r="K130" s="88" t="n">
        <x:v>2844</x:v>
      </x:c>
      <x:c r="L130" s="60" t="n">
        <x:v>142.15</x:v>
      </x:c>
      <x:c r="M130" s="60" t="n">
        <x:v>2.132081111111113</x:v>
      </x:c>
      <x:c r="N130" s="60" t="n">
        <x:v>216.42</x:v>
      </x:c>
      <x:c r="O130" s="60" t="n">
        <x:v>18.214623447381943</x:v>
      </x:c>
      <x:c r="P130" s="60" t="n">
        <x:v>17.548876754612255</x:v>
      </x:c>
      <x:c r="Q130" s="60" t="n">
        <x:v>-0.6657466927696878</x:v>
      </x:c>
      <x:c r="R130" s="63" t="n">
        <x:v>-3.6550121098736086</x:v>
      </x:c>
    </x:row>
    <x:row r="131" ht="15.75" customHeight="1">
      <x:c r="A131" s="70" t="n">
        <x:v>6</x:v>
      </x:c>
      <x:c r="B131" s="54" t="str">
        <x:v>UP006_20240701_171011_R274</x:v>
      </x:c>
      <x:c r="C131" s="88" t="n">
        <x:v>26</x:v>
      </x:c>
      <x:c r="D131" s="54" t="str">
        <x:v>镇海大道-骆驼桥</x:v>
      </x:c>
      <x:c r="E131" s="88" t="n">
        <x:v>5</x:v>
      </x:c>
      <x:c r="F131" s="88" t="n">
        <x:v>299</x:v>
      </x:c>
      <x:c r="G131" s="54" t="str">
        <x:v>2024-07-01 18:10:33</x:v>
      </x:c>
      <x:c r="H131" s="54" t="str">
        <x:v>2024-07-01 18:12:30</x:v>
      </x:c>
      <x:c r="I131" s="54" t="str">
        <x:v>traceability-cache</x:v>
      </x:c>
      <x:c r="J131" s="54" t="str">
        <x:v>cache</x:v>
      </x:c>
      <x:c r="K131" s="88" t="n">
        <x:v>2345</x:v>
      </x:c>
      <x:c r="L131" s="60" t="n">
        <x:v>117.2</x:v>
      </x:c>
      <x:c r="M131" s="60" t="n">
        <x:v>1.596918750000001</x:v>
      </x:c>
      <x:c r="N131" s="60" t="n">
        <x:v>215.84</x:v>
      </x:c>
      <x:c r="O131" s="60" t="n">
        <x:v>20.32970234268056</x:v>
      </x:c>
      <x:c r="P131" s="60" t="n">
        <x:v>18.61487987897111</x:v>
      </x:c>
      <x:c r="Q131" s="60" t="n">
        <x:v>-1.7148224637094462</x:v>
      </x:c>
      <x:c r="R131" s="63" t="n">
        <x:v>-8.435059376690017</x:v>
      </x:c>
    </x:row>
    <x:row r="132" ht="15.75" customHeight="1">
      <x:c r="A132" s="70" t="n">
        <x:v>8</x:v>
      </x:c>
      <x:c r="B132" s="54" t="str">
        <x:v>UP008_20240701_214424_R382</x:v>
      </x:c>
      <x:c r="C132" s="88" t="n">
        <x:v>1</x:v>
      </x:c>
      <x:c r="D132" s="54" t="str">
        <x:v>布政-张家潭</x:v>
      </x:c>
      <x:c r="E132" s="88" t="n">
        <x:v>7</x:v>
      </x:c>
      <x:c r="F132" s="88" t="n">
        <x:v>382</x:v>
      </x:c>
      <x:c r="G132" s="54" t="str">
        <x:v>2024-07-01 21:44:24</x:v>
      </x:c>
      <x:c r="H132" s="54" t="str">
        <x:v>2024-07-01 21:46:21</x:v>
      </x:c>
      <x:c r="I132" s="54" t="str">
        <x:v>traceability-cache</x:v>
      </x:c>
      <x:c r="J132" s="54" t="str">
        <x:v>cache</x:v>
      </x:c>
      <x:c r="K132" s="88" t="n">
        <x:v>2327</x:v>
      </x:c>
      <x:c r="L132" s="60" t="n">
        <x:v>116.3</x:v>
      </x:c>
      <x:c r="M132" s="60" t="n">
        <x:v>1.429831805555551</x:v>
      </x:c>
      <x:c r="N132" s="60" t="n">
        <x:v>215.24</x:v>
      </x:c>
      <x:c r="O132" s="60" t="n">
        <x:v>13.153353112375</x:v>
      </x:c>
      <x:c r="P132" s="60" t="n">
        <x:v>12.953575897439414</x:v>
      </x:c>
      <x:c r="Q132" s="60" t="n">
        <x:v>-0.199777214935586</x:v>
      </x:c>
      <x:c r="R132" s="63" t="n">
        <x:v>-1.5188310784999048</x:v>
      </x:c>
    </x:row>
    <x:row r="133" ht="15.75" customHeight="1">
      <x:c r="A133" s="70" t="n">
        <x:v>8</x:v>
      </x:c>
      <x:c r="B133" s="54" t="str">
        <x:v>UP008_20240701_214424_R382</x:v>
      </x:c>
      <x:c r="C133" s="88" t="n">
        <x:v>2</x:v>
      </x:c>
      <x:c r="D133" s="54" t="str">
        <x:v>张家潭-同德路</x:v>
      </x:c>
      <x:c r="E133" s="88" t="n">
        <x:v>7</x:v>
      </x:c>
      <x:c r="F133" s="88" t="n">
        <x:v>383</x:v>
      </x:c>
      <x:c r="G133" s="54" t="str">
        <x:v>2024-07-01 21:46:51</x:v>
      </x:c>
      <x:c r="H133" s="54" t="str">
        <x:v>2024-07-01 21:49:21</x:v>
      </x:c>
      <x:c r="I133" s="54" t="str">
        <x:v>traceability-cache</x:v>
      </x:c>
      <x:c r="J133" s="54" t="str">
        <x:v>cache</x:v>
      </x:c>
      <x:c r="K133" s="88" t="n">
        <x:v>3005</x:v>
      </x:c>
      <x:c r="L133" s="60" t="n">
        <x:v>150.2</x:v>
      </x:c>
      <x:c r="M133" s="60" t="n">
        <x:v>2.020616249999999</x:v>
      </x:c>
      <x:c r="N133" s="60" t="n">
        <x:v>215.24</x:v>
      </x:c>
      <x:c r="O133" s="60" t="n">
        <x:v>17.411959775701387</x:v>
      </x:c>
      <x:c r="P133" s="60" t="n">
        <x:v>16.642814807290005</x:v>
      </x:c>
      <x:c r="Q133" s="60" t="n">
        <x:v>-0.7691449684113831</x:v>
      </x:c>
      <x:c r="R133" s="63" t="n">
        <x:v>-4.4173371539987984</x:v>
      </x:c>
    </x:row>
    <x:row r="134" ht="15.75" customHeight="1">
      <x:c r="A134" s="70" t="n">
        <x:v>8</x:v>
      </x:c>
      <x:c r="B134" s="54" t="str">
        <x:v>UP008_20240701_214424_R382</x:v>
      </x:c>
      <x:c r="C134" s="88" t="n">
        <x:v>3</x:v>
      </x:c>
      <x:c r="D134" s="54" t="str">
        <x:v>同德路-石碶</x:v>
      </x:c>
      <x:c r="E134" s="88" t="n">
        <x:v>7</x:v>
      </x:c>
      <x:c r="F134" s="88" t="n">
        <x:v>384</x:v>
      </x:c>
      <x:c r="G134" s="54" t="str">
        <x:v>2024-07-01 21:49:50</x:v>
      </x:c>
      <x:c r="H134" s="54" t="str">
        <x:v>2024-07-01 21:51:41</x:v>
      </x:c>
      <x:c r="I134" s="54" t="str">
        <x:v>traceability-cache</x:v>
      </x:c>
      <x:c r="J134" s="54" t="str">
        <x:v>cache</x:v>
      </x:c>
      <x:c r="K134" s="88" t="n">
        <x:v>2227</x:v>
      </x:c>
      <x:c r="L134" s="60" t="n">
        <x:v>111.3</x:v>
      </x:c>
      <x:c r="M134" s="60" t="n">
        <x:v>1.33032652777778</x:v>
      </x:c>
      <x:c r="N134" s="60" t="n">
        <x:v>215.34</x:v>
      </x:c>
      <x:c r="O134" s="60" t="n">
        <x:v>11.880661081847222</x:v>
      </x:c>
      <x:c r="P134" s="60" t="n">
        <x:v>11.442001044106854</x:v>
      </x:c>
      <x:c r="Q134" s="60" t="n">
        <x:v>-0.4386600377403665</x:v>
      </x:c>
      <x:c r="R134" s="63" t="n">
        <x:v>-3.692219100590344</x:v>
      </x:c>
    </x:row>
    <x:row r="135" ht="15.75" customHeight="1">
      <x:c r="A135" s="70" t="n">
        <x:v>8</x:v>
      </x:c>
      <x:c r="B135" s="54" t="str">
        <x:v>UP008_20240701_214424_R382</x:v>
      </x:c>
      <x:c r="C135" s="88" t="n">
        <x:v>4</x:v>
      </x:c>
      <x:c r="D135" s="54" t="str">
        <x:v>石碶-雅渡</x:v>
      </x:c>
      <x:c r="E135" s="88" t="n">
        <x:v>7</x:v>
      </x:c>
      <x:c r="F135" s="88" t="n">
        <x:v>385</x:v>
      </x:c>
      <x:c r="G135" s="54" t="str">
        <x:v>2024-07-01 21:52:16</x:v>
      </x:c>
      <x:c r="H135" s="54" t="str">
        <x:v>2024-07-01 21:53:39</x:v>
      </x:c>
      <x:c r="I135" s="54" t="str">
        <x:v>traceability-cache</x:v>
      </x:c>
      <x:c r="J135" s="54" t="str">
        <x:v>cache</x:v>
      </x:c>
      <x:c r="K135" s="88" t="n">
        <x:v>1670</x:v>
      </x:c>
      <x:c r="L135" s="60" t="n">
        <x:v>83.45</x:v>
      </x:c>
      <x:c r="M135" s="60" t="n">
        <x:v>0.8272534722222235</x:v>
      </x:c>
      <x:c r="N135" s="60" t="n">
        <x:v>216.44</x:v>
      </x:c>
      <x:c r="O135" s="60" t="n">
        <x:v>13.1782893111875</x:v>
      </x:c>
      <x:c r="P135" s="60" t="n">
        <x:v>13.375239788098304</x:v>
      </x:c>
      <x:c r="Q135" s="60" t="n">
        <x:v>0.1969504769108043</x:v>
      </x:c>
      <x:c r="R135" s="63" t="n">
        <x:v>1.4945071568857298</x:v>
      </x:c>
    </x:row>
    <x:row r="136" ht="15.75" customHeight="1">
      <x:c r="A136" s="70" t="n">
        <x:v>8</x:v>
      </x:c>
      <x:c r="B136" s="54" t="str">
        <x:v>UP008_20240701_214424_R382</x:v>
      </x:c>
      <x:c r="C136" s="88" t="n">
        <x:v>5</x:v>
      </x:c>
      <x:c r="D136" s="54" t="str">
        <x:v>雅渡-庙堰</x:v>
      </x:c>
      <x:c r="E136" s="88" t="n">
        <x:v>7</x:v>
      </x:c>
      <x:c r="F136" s="88" t="n">
        <x:v>386</x:v>
      </x:c>
      <x:c r="G136" s="54" t="str">
        <x:v>2024-07-01 21:54:09</x:v>
      </x:c>
      <x:c r="H136" s="54" t="str">
        <x:v>2024-07-01 21:56:20</x:v>
      </x:c>
      <x:c r="I136" s="54" t="str">
        <x:v>traceability-cache</x:v>
      </x:c>
      <x:c r="J136" s="54" t="str">
        <x:v>cache</x:v>
      </x:c>
      <x:c r="K136" s="88" t="n">
        <x:v>2619</x:v>
      </x:c>
      <x:c r="L136" s="60" t="n">
        <x:v>130.9</x:v>
      </x:c>
      <x:c r="M136" s="60" t="n">
        <x:v>1.860997638888884</x:v>
      </x:c>
      <x:c r="N136" s="60" t="n">
        <x:v>216.34</x:v>
      </x:c>
      <x:c r="O136" s="60" t="n">
        <x:v>21.34476560611805</x:v>
      </x:c>
      <x:c r="P136" s="60" t="n">
        <x:v>20.572650429292857</x:v>
      </x:c>
      <x:c r="Q136" s="60" t="n">
        <x:v>-0.7721151768251948</x:v>
      </x:c>
      <x:c r="R136" s="63" t="n">
        <x:v>-3.617351396933979</x:v>
      </x:c>
    </x:row>
    <x:row r="137" ht="15.75" customHeight="1">
      <x:c r="A137" s="70" t="n">
        <x:v>8</x:v>
      </x:c>
      <x:c r="B137" s="54" t="str">
        <x:v>UP008_20240701_214424_R382</x:v>
      </x:c>
      <x:c r="C137" s="88" t="n">
        <x:v>6</x:v>
      </x:c>
      <x:c r="D137" s="54" t="str">
        <x:v>庙堰-钟公庙</x:v>
      </x:c>
      <x:c r="E137" s="88" t="n">
        <x:v>7</x:v>
      </x:c>
      <x:c r="F137" s="88" t="n">
        <x:v>387</x:v>
      </x:c>
      <x:c r="G137" s="54" t="str">
        <x:v>2024-07-01 21:56:50</x:v>
      </x:c>
      <x:c r="H137" s="54" t="str">
        <x:v>2024-07-01 21:58:25</x:v>
      </x:c>
      <x:c r="I137" s="54" t="str">
        <x:v>traceability-cache</x:v>
      </x:c>
      <x:c r="J137" s="54" t="str">
        <x:v>cache</x:v>
      </x:c>
      <x:c r="K137" s="88" t="n">
        <x:v>1907</x:v>
      </x:c>
      <x:c r="L137" s="60" t="n">
        <x:v>95.3</x:v>
      </x:c>
      <x:c r="M137" s="60" t="n">
        <x:v>1.087976250000003</x:v>
      </x:c>
      <x:c r="N137" s="60" t="n">
        <x:v>216.32</x:v>
      </x:c>
      <x:c r="O137" s="60" t="n">
        <x:v>13.772460030125</x:v>
      </x:c>
      <x:c r="P137" s="60" t="n">
        <x:v>13.8315712654214</x:v>
      </x:c>
      <x:c r="Q137" s="60" t="n">
        <x:v>0.0591112352964009</x:v>
      </x:c>
      <x:c r="R137" s="63" t="n">
        <x:v>0.4291988153685314</x:v>
      </x:c>
    </x:row>
    <x:row r="138" ht="15.75" customHeight="1">
      <x:c r="A138" s="70" t="n">
        <x:v>8</x:v>
      </x:c>
      <x:c r="B138" s="54" t="str">
        <x:v>UP008_20240701_214424_R382</x:v>
      </x:c>
      <x:c r="C138" s="88" t="n">
        <x:v>7</x:v>
      </x:c>
      <x:c r="D138" s="54" t="str">
        <x:v>钟公庙-鄞州区政府</x:v>
      </x:c>
      <x:c r="E138" s="88" t="n">
        <x:v>7</x:v>
      </x:c>
      <x:c r="F138" s="88" t="n">
        <x:v>388</x:v>
      </x:c>
      <x:c r="G138" s="54" t="str">
        <x:v>2024-07-01 21:58:56</x:v>
      </x:c>
      <x:c r="H138" s="54" t="str">
        <x:v>2024-07-01 22:00:26</x:v>
      </x:c>
      <x:c r="I138" s="54" t="str">
        <x:v>traceability-cache</x:v>
      </x:c>
      <x:c r="J138" s="54" t="str">
        <x:v>cache</x:v>
      </x:c>
      <x:c r="K138" s="88" t="n">
        <x:v>1807</x:v>
      </x:c>
      <x:c r="L138" s="60" t="n">
        <x:v>90.3</x:v>
      </x:c>
      <x:c r="M138" s="60" t="n">
        <x:v>0.984970000000001</x:v>
      </x:c>
      <x:c r="N138" s="60" t="n">
        <x:v>216.14</x:v>
      </x:c>
      <x:c r="O138" s="60" t="n">
        <x:v>10.293166852729168</x:v>
      </x:c>
      <x:c r="P138" s="60" t="n">
        <x:v>10.845090764854536</x:v>
      </x:c>
      <x:c r="Q138" s="60" t="n">
        <x:v>0.5519239121253686</x:v>
      </x:c>
      <x:c r="R138" s="63" t="n">
        <x:v>5.362041828545988</x:v>
      </x:c>
    </x:row>
    <x:row r="139" ht="15.75" customHeight="1">
      <x:c r="A139" s="70" t="n">
        <x:v>8</x:v>
      </x:c>
      <x:c r="B139" s="54" t="str">
        <x:v>UP008_20240701_214424_R382</x:v>
      </x:c>
      <x:c r="C139" s="88" t="n">
        <x:v>8</x:v>
      </x:c>
      <x:c r="D139" s="54" t="str">
        <x:v>鄞州区政府-钱湖南路</x:v>
      </x:c>
      <x:c r="E139" s="88" t="n">
        <x:v>7</x:v>
      </x:c>
      <x:c r="F139" s="88" t="n">
        <x:v>389</x:v>
      </x:c>
      <x:c r="G139" s="54" t="str">
        <x:v>2024-07-01 22:01:05</x:v>
      </x:c>
      <x:c r="H139" s="54" t="str">
        <x:v>2024-07-01 22:03:18</x:v>
      </x:c>
      <x:c r="I139" s="54" t="str">
        <x:v>traceability-cache</x:v>
      </x:c>
      <x:c r="J139" s="54" t="str">
        <x:v>cache</x:v>
      </x:c>
      <x:c r="K139" s="88" t="n">
        <x:v>2649</x:v>
      </x:c>
      <x:c r="L139" s="60" t="n">
        <x:v>132.4</x:v>
      </x:c>
      <x:c r="M139" s="60" t="n">
        <x:v>1.81168722222222</x:v>
      </x:c>
      <x:c r="N139" s="60" t="n">
        <x:v>216.14</x:v>
      </x:c>
      <x:c r="O139" s="60" t="n">
        <x:v>17.6122347175625</x:v>
      </x:c>
      <x:c r="P139" s="60" t="n">
        <x:v>16.139248928623736</x:v>
      </x:c>
      <x:c r="Q139" s="60" t="n">
        <x:v>-1.472985788938764</x:v>
      </x:c>
      <x:c r="R139" s="63" t="n">
        <x:v>-8.36342356640261</x:v>
      </x:c>
    </x:row>
    <x:row r="140" ht="15.75" customHeight="1">
      <x:c r="A140" s="70" t="n">
        <x:v>8</x:v>
      </x:c>
      <x:c r="B140" s="54" t="str">
        <x:v>UP008_20240701_214424_R382</x:v>
      </x:c>
      <x:c r="C140" s="88" t="n">
        <x:v>9</x:v>
      </x:c>
      <x:c r="D140" s="54" t="str">
        <x:v>钱湖南路-南高教园区</x:v>
      </x:c>
      <x:c r="E140" s="88" t="n">
        <x:v>7</x:v>
      </x:c>
      <x:c r="F140" s="88" t="n">
        <x:v>390</x:v>
      </x:c>
      <x:c r="G140" s="54" t="str">
        <x:v>2024-07-01 22:03:47</x:v>
      </x:c>
      <x:c r="H140" s="54" t="str">
        <x:v>2024-07-01 22:05:27</x:v>
      </x:c>
      <x:c r="I140" s="54" t="str">
        <x:v>traceability-cache</x:v>
      </x:c>
      <x:c r="J140" s="54" t="str">
        <x:v>cache</x:v>
      </x:c>
      <x:c r="K140" s="88" t="n">
        <x:v>2003</x:v>
      </x:c>
      <x:c r="L140" s="60" t="n">
        <x:v>100.1</x:v>
      </x:c>
      <x:c r="M140" s="60" t="n">
        <x:v>1.168931805555557</x:v>
      </x:c>
      <x:c r="N140" s="60" t="n">
        <x:v>216.02</x:v>
      </x:c>
      <x:c r="O140" s="60" t="n">
        <x:v>14.15221675951389</x:v>
      </x:c>
      <x:c r="P140" s="60" t="n">
        <x:v>14.024498690483844</x:v>
      </x:c>
      <x:c r="Q140" s="60" t="n">
        <x:v>-0.1277180690300447</x:v>
      </x:c>
      <x:c r="R140" s="63" t="n">
        <x:v>-0.9024598138958384</x:v>
      </x:c>
    </x:row>
    <x:row r="141" ht="15.75" customHeight="1">
      <x:c r="A141" s="70" t="n">
        <x:v>8</x:v>
      </x:c>
      <x:c r="B141" s="54" t="str">
        <x:v>UP008_20240701_214424_R382</x:v>
      </x:c>
      <x:c r="C141" s="88" t="n">
        <x:v>10</x:v>
      </x:c>
      <x:c r="D141" s="54" t="str">
        <x:v>南高教园区-下应路</x:v>
      </x:c>
      <x:c r="E141" s="88" t="n">
        <x:v>7</x:v>
      </x:c>
      <x:c r="F141" s="88" t="n">
        <x:v>391</x:v>
      </x:c>
      <x:c r="G141" s="54" t="str">
        <x:v>2024-07-01 22:06:02</x:v>
      </x:c>
      <x:c r="H141" s="54" t="str">
        <x:v>2024-07-01 22:07:58</x:v>
      </x:c>
      <x:c r="I141" s="54" t="str">
        <x:v>traceability-cache</x:v>
      </x:c>
      <x:c r="J141" s="54" t="str">
        <x:v>cache</x:v>
      </x:c>
      <x:c r="K141" s="88" t="n">
        <x:v>2304</x:v>
      </x:c>
      <x:c r="L141" s="60" t="n">
        <x:v>115.15</x:v>
      </x:c>
      <x:c r="M141" s="60" t="n">
        <x:v>1.452869166666662</x:v>
      </x:c>
      <x:c r="N141" s="60" t="n">
        <x:v>216.14</x:v>
      </x:c>
      <x:c r="O141" s="60" t="n">
        <x:v>18.94908316771528</x:v>
      </x:c>
      <x:c r="P141" s="60" t="n">
        <x:v>18.023257503516884</x:v>
      </x:c>
      <x:c r="Q141" s="60" t="n">
        <x:v>-0.9258256641983936</x:v>
      </x:c>
      <x:c r="R141" s="63" t="n">
        <x:v>-4.885859943745351</x:v>
      </x:c>
    </x:row>
    <x:row r="142" ht="15.75" customHeight="1">
      <x:c r="A142" s="70" t="n">
        <x:v>8</x:v>
      </x:c>
      <x:c r="B142" s="54" t="str">
        <x:v>UP008_20240701_214424_R382</x:v>
      </x:c>
      <x:c r="C142" s="88" t="n">
        <x:v>11</x:v>
      </x:c>
      <x:c r="D142" s="54" t="str">
        <x:v>下应路-大洋江</x:v>
      </x:c>
      <x:c r="E142" s="88" t="n">
        <x:v>7</x:v>
      </x:c>
      <x:c r="F142" s="88" t="n">
        <x:v>392</x:v>
      </x:c>
      <x:c r="G142" s="54" t="str">
        <x:v>2024-07-01 22:08:27</x:v>
      </x:c>
      <x:c r="H142" s="54" t="str">
        <x:v>2024-07-01 22:10:12</x:v>
      </x:c>
      <x:c r="I142" s="54" t="str">
        <x:v>traceability-cache</x:v>
      </x:c>
      <x:c r="J142" s="54" t="str">
        <x:v>cache</x:v>
      </x:c>
      <x:c r="K142" s="88" t="n">
        <x:v>2103</x:v>
      </x:c>
      <x:c r="L142" s="60" t="n">
        <x:v>105.1</x:v>
      </x:c>
      <x:c r="M142" s="60" t="n">
        <x:v>1.213911527777778</x:v>
      </x:c>
      <x:c r="N142" s="60" t="n">
        <x:v>216.24</x:v>
      </x:c>
      <x:c r="O142" s="60" t="n">
        <x:v>11.138455459423612</x:v>
      </x:c>
      <x:c r="P142" s="60" t="n">
        <x:v>10.76406564840165</x:v>
      </x:c>
      <x:c r="Q142" s="60" t="n">
        <x:v>-0.3743898110219634</x:v>
      </x:c>
      <x:c r="R142" s="63" t="n">
        <x:v>-3.361236325681165</x:v>
      </x:c>
    </x:row>
    <x:row r="143" ht="15.75" customHeight="1">
      <x:c r="A143" s="70" t="n">
        <x:v>8</x:v>
      </x:c>
      <x:c r="B143" s="54" t="str">
        <x:v>UP008_20240701_214424_R382</x:v>
      </x:c>
      <x:c r="C143" s="88" t="n">
        <x:v>12</x:v>
      </x:c>
      <x:c r="D143" s="54" t="str">
        <x:v>大洋江-泗港</x:v>
      </x:c>
      <x:c r="E143" s="88" t="n">
        <x:v>7</x:v>
      </x:c>
      <x:c r="F143" s="88" t="n">
        <x:v>393</x:v>
      </x:c>
      <x:c r="G143" s="54" t="str">
        <x:v>2024-07-01 22:10:42</x:v>
      </x:c>
      <x:c r="H143" s="54" t="str">
        <x:v>2024-07-01 22:12:15</x:v>
      </x:c>
      <x:c r="I143" s="54" t="str">
        <x:v>traceability-cache</x:v>
      </x:c>
      <x:c r="J143" s="54" t="str">
        <x:v>cache</x:v>
      </x:c>
      <x:c r="K143" s="88" t="n">
        <x:v>1855</x:v>
      </x:c>
      <x:c r="L143" s="60" t="n">
        <x:v>92.7</x:v>
      </x:c>
      <x:c r="M143" s="60" t="n">
        <x:v>0.9585373611111122</x:v>
      </x:c>
      <x:c r="N143" s="60" t="n">
        <x:v>215.84</x:v>
      </x:c>
      <x:c r="O143" s="60" t="n">
        <x:v>10.057239963583331</x:v>
      </x:c>
      <x:c r="P143" s="60" t="n">
        <x:v>10.330927607433996</x:v>
      </x:c>
      <x:c r="Q143" s="60" t="n">
        <x:v>0.2736876438506642</x:v>
      </x:c>
      <x:c r="R143" s="63" t="n">
        <x:v>2.721299728769234</x:v>
      </x:c>
    </x:row>
    <x:row r="144" ht="15.75" customHeight="1">
      <x:c r="A144" s="70" t="n">
        <x:v>8</x:v>
      </x:c>
      <x:c r="B144" s="54" t="str">
        <x:v>UP008_20240701_214424_R382</x:v>
      </x:c>
      <x:c r="C144" s="88" t="n">
        <x:v>13</x:v>
      </x:c>
      <x:c r="D144" s="54" t="str">
        <x:v>泗港-曹隘</x:v>
      </x:c>
      <x:c r="E144" s="88" t="n">
        <x:v>7</x:v>
      </x:c>
      <x:c r="F144" s="88" t="n">
        <x:v>394</x:v>
      </x:c>
      <x:c r="G144" s="54" t="str">
        <x:v>2024-07-01 22:12:44</x:v>
      </x:c>
      <x:c r="H144" s="54" t="str">
        <x:v>2024-07-01 22:14:59</x:v>
      </x:c>
      <x:c r="I144" s="54" t="str">
        <x:v>traceability-cache</x:v>
      </x:c>
      <x:c r="J144" s="54" t="str">
        <x:v>cache</x:v>
      </x:c>
      <x:c r="K144" s="88" t="n">
        <x:v>2689</x:v>
      </x:c>
      <x:c r="L144" s="60" t="n">
        <x:v>134.4</x:v>
      </x:c>
      <x:c r="M144" s="60" t="n">
        <x:v>1.799835972222225</x:v>
      </x:c>
      <x:c r="N144" s="60" t="n">
        <x:v>215.94</x:v>
      </x:c>
      <x:c r="O144" s="60" t="n">
        <x:v>22.707034350875</x:v>
      </x:c>
      <x:c r="P144" s="60" t="n">
        <x:v>23.25427952680331</x:v>
      </x:c>
      <x:c r="Q144" s="60" t="n">
        <x:v>0.5472451759283103</x:v>
      </x:c>
      <x:c r="R144" s="63" t="n">
        <x:v>2.4100248736674974</x:v>
      </x:c>
    </x:row>
    <x:row r="145" ht="15.75" customHeight="1">
      <x:c r="A145" s="70" t="n">
        <x:v>8</x:v>
      </x:c>
      <x:c r="B145" s="54" t="str">
        <x:v>UP008_20240701_214424_R382</x:v>
      </x:c>
      <x:c r="C145" s="88" t="n">
        <x:v>14</x:v>
      </x:c>
      <x:c r="D145" s="54" t="str">
        <x:v>曹隘-柳隘</x:v>
      </x:c>
      <x:c r="E145" s="88" t="n">
        <x:v>7</x:v>
      </x:c>
      <x:c r="F145" s="88" t="n">
        <x:v>395</x:v>
      </x:c>
      <x:c r="G145" s="54" t="str">
        <x:v>2024-07-01 22:15:29</x:v>
      </x:c>
      <x:c r="H145" s="54" t="str">
        <x:v>2024-07-01 22:17:16</x:v>
      </x:c>
      <x:c r="I145" s="54" t="str">
        <x:v>traceability-cache</x:v>
      </x:c>
      <x:c r="J145" s="54" t="str">
        <x:v>cache</x:v>
      </x:c>
      <x:c r="K145" s="88" t="n">
        <x:v>2130</x:v>
      </x:c>
      <x:c r="L145" s="60" t="n">
        <x:v>106.45</x:v>
      </x:c>
      <x:c r="M145" s="60" t="n">
        <x:v>1.307647083333334</x:v>
      </x:c>
      <x:c r="N145" s="60" t="n">
        <x:v>215.54</x:v>
      </x:c>
      <x:c r="O145" s="60" t="n">
        <x:v>20.76108199196528</x:v>
      </x:c>
      <x:c r="P145" s="60" t="n">
        <x:v>21.795206809087883</x:v>
      </x:c>
      <x:c r="Q145" s="60" t="n">
        <x:v>1.0341248171226034</x:v>
      </x:c>
      <x:c r="R145" s="63" t="n">
        <x:v>4.981073806860446</x:v>
      </x:c>
    </x:row>
    <x:row r="146" ht="15.75" customHeight="1">
      <x:c r="A146" s="70" t="n">
        <x:v>8</x:v>
      </x:c>
      <x:c r="B146" s="54" t="str">
        <x:v>UP008_20240701_214424_R382</x:v>
      </x:c>
      <x:c r="C146" s="88" t="n">
        <x:v>15</x:v>
      </x:c>
      <x:c r="D146" s="54" t="str">
        <x:v>柳隘-海晏北路</x:v>
      </x:c>
      <x:c r="E146" s="88" t="n">
        <x:v>7</x:v>
      </x:c>
      <x:c r="F146" s="88" t="n">
        <x:v>396</x:v>
      </x:c>
      <x:c r="G146" s="54" t="str">
        <x:v>2024-07-01 22:17:45</x:v>
      </x:c>
      <x:c r="H146" s="54" t="str">
        <x:v>2024-07-01 22:19:17</x:v>
      </x:c>
      <x:c r="I146" s="54" t="str">
        <x:v>traceability-cache</x:v>
      </x:c>
      <x:c r="J146" s="54" t="str">
        <x:v>cache</x:v>
      </x:c>
      <x:c r="K146" s="88" t="n">
        <x:v>1832</x:v>
      </x:c>
      <x:c r="L146" s="60" t="n">
        <x:v>91.55</x:v>
      </x:c>
      <x:c r="M146" s="60" t="n">
        <x:v>0.9812611111111128</x:v>
      </x:c>
      <x:c r="N146" s="60" t="n">
        <x:v>215.54</x:v>
      </x:c>
      <x:c r="O146" s="60" t="n">
        <x:v>12.09455289995139</x:v>
      </x:c>
      <x:c r="P146" s="60" t="n">
        <x:v>12.37302250316468</x:v>
      </x:c>
      <x:c r="Q146" s="60" t="n">
        <x:v>0.2784696032132906</x:v>
      </x:c>
      <x:c r="R146" s="63" t="n">
        <x:v>2.302438176233946</x:v>
      </x:c>
    </x:row>
    <x:row r="147" ht="15.75" customHeight="1">
      <x:c r="A147" s="70" t="n">
        <x:v>8</x:v>
      </x:c>
      <x:c r="B147" s="54" t="str">
        <x:v>UP008_20240701_214424_R382</x:v>
      </x:c>
      <x:c r="C147" s="88" t="n">
        <x:v>16</x:v>
      </x:c>
      <x:c r="D147" s="54" t="str">
        <x:v>海晏北路-民安东路</x:v>
      </x:c>
      <x:c r="E147" s="88" t="n">
        <x:v>7</x:v>
      </x:c>
      <x:c r="F147" s="88" t="n">
        <x:v>397</x:v>
      </x:c>
      <x:c r="G147" s="54" t="str">
        <x:v>2024-07-01 22:20:02</x:v>
      </x:c>
      <x:c r="H147" s="54" t="str">
        <x:v>2024-07-01 22:21:26</x:v>
      </x:c>
      <x:c r="I147" s="54" t="str">
        <x:v>traceability-cache</x:v>
      </x:c>
      <x:c r="J147" s="54" t="str">
        <x:v>cache</x:v>
      </x:c>
      <x:c r="K147" s="88" t="n">
        <x:v>1681</x:v>
      </x:c>
      <x:c r="L147" s="60" t="n">
        <x:v>84</x:v>
      </x:c>
      <x:c r="M147" s="60" t="n">
        <x:v>0.8657316666666676</x:v>
      </x:c>
      <x:c r="N147" s="60" t="n">
        <x:v>216.04</x:v>
      </x:c>
      <x:c r="O147" s="60" t="n">
        <x:v>15.539427342048612</x:v>
      </x:c>
      <x:c r="P147" s="60" t="n">
        <x:v>15.99179511542878</x:v>
      </x:c>
      <x:c r="Q147" s="60" t="n">
        <x:v>0.4523677733801669</x:v>
      </x:c>
      <x:c r="R147" s="63" t="n">
        <x:v>2.911096808285149</x:v>
      </x:c>
    </x:row>
    <x:row r="148" ht="15.75" customHeight="1">
      <x:c r="A148" s="70" t="n">
        <x:v>8</x:v>
      </x:c>
      <x:c r="B148" s="54" t="str">
        <x:v>UP008_20240701_214424_R382</x:v>
      </x:c>
      <x:c r="C148" s="88" t="n">
        <x:v>17</x:v>
      </x:c>
      <x:c r="D148" s="54" t="str">
        <x:v>民安东路-会展中心</x:v>
      </x:c>
      <x:c r="E148" s="88" t="n">
        <x:v>7</x:v>
      </x:c>
      <x:c r="F148" s="88" t="n">
        <x:v>398</x:v>
      </x:c>
      <x:c r="G148" s="54" t="str">
        <x:v>2024-07-01 22:21:56</x:v>
      </x:c>
      <x:c r="H148" s="54" t="str">
        <x:v>2024-07-01 22:23:14</x:v>
      </x:c>
      <x:c r="I148" s="54" t="str">
        <x:v>traceability-cache</x:v>
      </x:c>
      <x:c r="J148" s="54" t="str">
        <x:v>cache</x:v>
      </x:c>
      <x:c r="K148" s="88" t="n">
        <x:v>1547</x:v>
      </x:c>
      <x:c r="L148" s="60" t="n">
        <x:v>77.3</x:v>
      </x:c>
      <x:c r="M148" s="60" t="n">
        <x:v>0.7256841666666677</x:v>
      </x:c>
      <x:c r="N148" s="60" t="n">
        <x:v>216.44</x:v>
      </x:c>
      <x:c r="O148" s="60" t="n">
        <x:v>12.235744016986112</x:v>
      </x:c>
      <x:c r="P148" s="60" t="n">
        <x:v>12.68082337896859</x:v>
      </x:c>
      <x:c r="Q148" s="60" t="n">
        <x:v>0.4450793619824763</x:v>
      </x:c>
      <x:c r="R148" s="63" t="n">
        <x:v>3.637534107975784</x:v>
      </x:c>
    </x:row>
    <x:row r="149" ht="15.75" customHeight="1">
      <x:c r="A149" s="70" t="n">
        <x:v>8</x:v>
      </x:c>
      <x:c r="B149" s="54" t="str">
        <x:v>UP008_20240701_214424_R382</x:v>
      </x:c>
      <x:c r="C149" s="88" t="n">
        <x:v>18</x:v>
      </x:c>
      <x:c r="D149" s="54" t="str">
        <x:v>会展中心-院士路</x:v>
      </x:c>
      <x:c r="E149" s="88" t="n">
        <x:v>7</x:v>
      </x:c>
      <x:c r="F149" s="88" t="n">
        <x:v>399</x:v>
      </x:c>
      <x:c r="G149" s="54" t="str">
        <x:v>2024-07-01 22:23:44</x:v>
      </x:c>
      <x:c r="H149" s="54" t="str">
        <x:v>2024-07-01 22:25:39</x:v>
      </x:c>
      <x:c r="I149" s="54" t="str">
        <x:v>traceability-cache</x:v>
      </x:c>
      <x:c r="J149" s="54" t="str">
        <x:v>cache</x:v>
      </x:c>
      <x:c r="K149" s="88" t="n">
        <x:v>2300</x:v>
      </x:c>
      <x:c r="L149" s="60" t="n">
        <x:v>114.95</x:v>
      </x:c>
      <x:c r="M149" s="60" t="n">
        <x:v>1.552097499999999</x:v>
      </x:c>
      <x:c r="N149" s="60" t="n">
        <x:v>216.24</x:v>
      </x:c>
      <x:c r="O149" s="60" t="n">
        <x:v>14.95721046211111</x:v>
      </x:c>
      <x:c r="P149" s="60" t="n">
        <x:v>15.150251384957416</x:v>
      </x:c>
      <x:c r="Q149" s="60" t="n">
        <x:v>0.1930409228463049</x:v>
      </x:c>
      <x:c r="R149" s="63" t="n">
        <x:v>1.2906211578375997</x:v>
      </x:c>
    </x:row>
    <x:row r="150" ht="15.75" customHeight="1">
      <x:c r="A150" s="70" t="n">
        <x:v>8</x:v>
      </x:c>
      <x:c r="B150" s="54" t="str">
        <x:v>UP008_20240701_214424_R382</x:v>
      </x:c>
      <x:c r="C150" s="88" t="n">
        <x:v>19</x:v>
      </x:c>
      <x:c r="D150" s="54" t="str">
        <x:v>院士路-盎孟港</x:v>
      </x:c>
      <x:c r="E150" s="88" t="n">
        <x:v>7</x:v>
      </x:c>
      <x:c r="F150" s="88" t="n">
        <x:v>400</x:v>
      </x:c>
      <x:c r="G150" s="54" t="str">
        <x:v>2024-07-01 22:26:08</x:v>
      </x:c>
      <x:c r="H150" s="54" t="str">
        <x:v>2024-07-01 22:27:38</x:v>
      </x:c>
      <x:c r="I150" s="54" t="str">
        <x:v>traceability-cache</x:v>
      </x:c>
      <x:c r="J150" s="54" t="str">
        <x:v>cache</x:v>
      </x:c>
      <x:c r="K150" s="88" t="n">
        <x:v>1795</x:v>
      </x:c>
      <x:c r="L150" s="60" t="n">
        <x:v>89.7</x:v>
      </x:c>
      <x:c r="M150" s="60" t="n">
        <x:v>0.9940665277777768</x:v>
      </x:c>
      <x:c r="N150" s="60" t="n">
        <x:v>215.94</x:v>
      </x:c>
      <x:c r="O150" s="60" t="n">
        <x:v>18.64439940227083</x:v>
      </x:c>
      <x:c r="P150" s="60" t="n">
        <x:v>18.78388295112964</x:v>
      </x:c>
      <x:c r="Q150" s="60" t="n">
        <x:v>0.1394835488588105</x:v>
      </x:c>
      <x:c r="R150" s="63" t="n">
        <x:v>0.7481257285328369</x:v>
      </x:c>
    </x:row>
    <x:row r="151" ht="15.75" customHeight="1">
      <x:c r="A151" s="70" t="n">
        <x:v>8</x:v>
      </x:c>
      <x:c r="B151" s="54" t="str">
        <x:v>UP008_20240701_214424_R382</x:v>
      </x:c>
      <x:c r="C151" s="88" t="n">
        <x:v>20</x:v>
      </x:c>
      <x:c r="D151" s="54" t="str">
        <x:v>盎孟港-三官堂</x:v>
      </x:c>
      <x:c r="E151" s="88" t="n">
        <x:v>7</x:v>
      </x:c>
      <x:c r="F151" s="88" t="n">
        <x:v>401</x:v>
      </x:c>
      <x:c r="G151" s="54" t="str">
        <x:v>2024-07-01 22:28:08</x:v>
      </x:c>
      <x:c r="H151" s="54" t="str">
        <x:v>2024-07-01 22:30:24</x:v>
      </x:c>
      <x:c r="I151" s="54" t="str">
        <x:v>traceability-cache</x:v>
      </x:c>
      <x:c r="J151" s="54" t="str">
        <x:v>cache</x:v>
      </x:c>
      <x:c r="K151" s="88" t="n">
        <x:v>2737</x:v>
      </x:c>
      <x:c r="L151" s="60" t="n">
        <x:v>136.8</x:v>
      </x:c>
      <x:c r="M151" s="60" t="n">
        <x:v>1.876884166666665</x:v>
      </x:c>
      <x:c r="N151" s="60" t="n">
        <x:v>215.94</x:v>
      </x:c>
      <x:c r="O151" s="60" t="n">
        <x:v>18.658767837916667</x:v>
      </x:c>
      <x:c r="P151" s="60" t="n">
        <x:v>17.755573237837766</x:v>
      </x:c>
      <x:c r="Q151" s="60" t="n">
        <x:v>-0.9031946000789032</x:v>
      </x:c>
      <x:c r="R151" s="63" t="n">
        <x:v>-4.840590803876729</x:v>
      </x:c>
    </x:row>
    <x:row r="152" ht="15.75" customHeight="1">
      <x:c r="A152" s="70" t="n">
        <x:v>8</x:v>
      </x:c>
      <x:c r="B152" s="54" t="str">
        <x:v>UP008_20240701_214424_R382</x:v>
      </x:c>
      <x:c r="C152" s="88" t="n">
        <x:v>21</x:v>
      </x:c>
      <x:c r="D152" s="54" t="str">
        <x:v>三官堂-兴庄路</x:v>
      </x:c>
      <x:c r="E152" s="88" t="n">
        <x:v>7</x:v>
      </x:c>
      <x:c r="F152" s="88" t="n">
        <x:v>402</x:v>
      </x:c>
      <x:c r="G152" s="54" t="str">
        <x:v>2024-07-01 22:30:59</x:v>
      </x:c>
      <x:c r="H152" s="54" t="str">
        <x:v>2024-07-01 22:32:42</x:v>
      </x:c>
      <x:c r="I152" s="54" t="str">
        <x:v>traceability-cache</x:v>
      </x:c>
      <x:c r="J152" s="54" t="str">
        <x:v>cache</x:v>
      </x:c>
      <x:c r="K152" s="88" t="n">
        <x:v>2057</x:v>
      </x:c>
      <x:c r="L152" s="60" t="n">
        <x:v>102.8</x:v>
      </x:c>
      <x:c r="M152" s="60" t="n">
        <x:v>1.08017375</x:v>
      </x:c>
      <x:c r="N152" s="60" t="n">
        <x:v>215.94</x:v>
      </x:c>
      <x:c r="O152" s="60" t="n">
        <x:v>10.654178095888888</x:v>
      </x:c>
      <x:c r="P152" s="60" t="n">
        <x:v>10.7450618005793</x:v>
      </x:c>
      <x:c r="Q152" s="60" t="n">
        <x:v>0.09088370469041</x:v>
      </x:c>
      <x:c r="R152" s="63" t="n">
        <x:v>0.8530334660491471</x:v>
      </x:c>
    </x:row>
    <x:row r="153" ht="15.75" customHeight="1">
      <x:c r="A153" s="70" t="n">
        <x:v>8</x:v>
      </x:c>
      <x:c r="B153" s="54" t="str">
        <x:v>UP008_20240701_214424_R382</x:v>
      </x:c>
      <x:c r="C153" s="88" t="n">
        <x:v>22</x:v>
      </x:c>
      <x:c r="D153" s="54" t="str">
        <x:v>兴庄路-兴海南路</x:v>
      </x:c>
      <x:c r="E153" s="88" t="n">
        <x:v>7</x:v>
      </x:c>
      <x:c r="F153" s="88" t="n">
        <x:v>403</x:v>
      </x:c>
      <x:c r="G153" s="54" t="str">
        <x:v>2024-07-01 22:33:13</x:v>
      </x:c>
      <x:c r="H153" s="54" t="str">
        <x:v>2024-07-01 22:34:44</x:v>
      </x:c>
      <x:c r="I153" s="54" t="str">
        <x:v>traceability-cache</x:v>
      </x:c>
      <x:c r="J153" s="54" t="str">
        <x:v>cache</x:v>
      </x:c>
      <x:c r="K153" s="88" t="n">
        <x:v>1827</x:v>
      </x:c>
      <x:c r="L153" s="60" t="n">
        <x:v>91.3</x:v>
      </x:c>
      <x:c r="M153" s="60" t="n">
        <x:v>0.9588601388888888</x:v>
      </x:c>
      <x:c r="N153" s="60" t="n">
        <x:v>215.54</x:v>
      </x:c>
      <x:c r="O153" s="60" t="n">
        <x:v>11.805990319618056</x:v>
      </x:c>
      <x:c r="P153" s="60" t="n">
        <x:v>11.768572969458637</x:v>
      </x:c>
      <x:c r="Q153" s="60" t="n">
        <x:v>-0.0374173501594214</x:v>
      </x:c>
      <x:c r="R153" s="63" t="n">
        <x:v>-0.3169352942568897</x:v>
      </x:c>
    </x:row>
    <x:row r="154" ht="15.75" customHeight="1">
      <x:c r="A154" s="70" t="n">
        <x:v>8</x:v>
      </x:c>
      <x:c r="B154" s="54" t="str">
        <x:v>UP008_20240701_214424_R382</x:v>
      </x:c>
      <x:c r="C154" s="88" t="n">
        <x:v>23</x:v>
      </x:c>
      <x:c r="D154" s="54" t="str">
        <x:v>兴海南路-梅堰</x:v>
      </x:c>
      <x:c r="E154" s="88" t="n">
        <x:v>7</x:v>
      </x:c>
      <x:c r="F154" s="88" t="n">
        <x:v>404</x:v>
      </x:c>
      <x:c r="G154" s="54" t="str">
        <x:v>2024-07-01 22:35:13</x:v>
      </x:c>
      <x:c r="H154" s="54" t="str">
        <x:v>2024-07-01 22:36:35</x:v>
      </x:c>
      <x:c r="I154" s="54" t="str">
        <x:v>traceability-cache</x:v>
      </x:c>
      <x:c r="J154" s="54" t="str">
        <x:v>cache</x:v>
      </x:c>
      <x:c r="K154" s="88" t="n">
        <x:v>1643</x:v>
      </x:c>
      <x:c r="L154" s="60" t="n">
        <x:v>82.1</x:v>
      </x:c>
      <x:c r="M154" s="60" t="n">
        <x:v>0.8340549999999992</x:v>
      </x:c>
      <x:c r="N154" s="60" t="n">
        <x:v>215.54</x:v>
      </x:c>
      <x:c r="O154" s="60" t="n">
        <x:v>12.817896729930554</x:v>
      </x:c>
      <x:c r="P154" s="60" t="n">
        <x:v>13.065257620743916</x:v>
      </x:c>
      <x:c r="Q154" s="60" t="n">
        <x:v>0.247360890813361</x:v>
      </x:c>
      <x:c r="R154" s="63" t="n">
        <x:v>1.929808735591999</x:v>
      </x:c>
    </x:row>
    <x:row r="155" ht="15.75" customHeight="1">
      <x:c r="A155" s="70" t="n">
        <x:v>8</x:v>
      </x:c>
      <x:c r="B155" s="54" t="str">
        <x:v>UP008_20240701_214424_R382</x:v>
      </x:c>
      <x:c r="C155" s="88" t="n">
        <x:v>24</x:v>
      </x:c>
      <x:c r="D155" s="54" t="str">
        <x:v>梅堰-永茂路</x:v>
      </x:c>
      <x:c r="E155" s="88" t="n">
        <x:v>5</x:v>
      </x:c>
      <x:c r="F155" s="88" t="n">
        <x:v>405</x:v>
      </x:c>
      <x:c r="G155" s="54" t="str">
        <x:v>2024-07-01 22:37:04</x:v>
      </x:c>
      <x:c r="H155" s="54" t="str">
        <x:v>2024-07-01 22:42:40</x:v>
      </x:c>
      <x:c r="I155" s="54" t="str">
        <x:v>traceability-cache</x:v>
      </x:c>
      <x:c r="J155" s="54" t="str">
        <x:v>cache</x:v>
      </x:c>
      <x:c r="K155" s="88" t="n">
        <x:v>6606</x:v>
      </x:c>
      <x:c r="L155" s="60" t="n">
        <x:v>330.25</x:v>
      </x:c>
      <x:c r="M155" s="60" t="n">
        <x:v>3.6757548611111193</x:v>
      </x:c>
      <x:c r="N155" s="60" t="n">
        <x:v>215.54</x:v>
      </x:c>
      <x:c r="O155" s="60" t="n">
        <x:v>25.543008922166663</x:v>
      </x:c>
      <x:c r="P155" s="60" t="n">
        <x:v>25.207206290012284</x:v>
      </x:c>
      <x:c r="Q155" s="60" t="n">
        <x:v>-0.3358026321543803</x:v>
      </x:c>
      <x:c r="R155" s="63" t="n">
        <x:v>-1.31465573683046</x:v>
      </x:c>
    </x:row>
    <x:row r="156" ht="15.75" customHeight="1">
      <x:c r="A156" s="70" t="n">
        <x:v>8</x:v>
      </x:c>
      <x:c r="B156" s="54" t="str">
        <x:v>UP008_20240701_214424_R382</x:v>
      </x:c>
      <x:c r="C156" s="88" t="n">
        <x:v>25</x:v>
      </x:c>
      <x:c r="D156" s="54" t="str">
        <x:v>永茂路-镇海大道</x:v>
      </x:c>
      <x:c r="E156" s="88" t="n">
        <x:v>7</x:v>
      </x:c>
      <x:c r="F156" s="88" t="n">
        <x:v>406</x:v>
      </x:c>
      <x:c r="G156" s="54" t="str">
        <x:v>2024-07-01 22:43:07</x:v>
      </x:c>
      <x:c r="H156" s="54" t="str">
        <x:v>2024-07-01 22:45:29</x:v>
      </x:c>
      <x:c r="I156" s="54" t="str">
        <x:v>traceability-cache</x:v>
      </x:c>
      <x:c r="J156" s="54" t="str">
        <x:v>cache</x:v>
      </x:c>
      <x:c r="K156" s="88" t="n">
        <x:v>2850</x:v>
      </x:c>
      <x:c r="L156" s="60" t="n">
        <x:v>142.45</x:v>
      </x:c>
      <x:c r="M156" s="60" t="n">
        <x:v>2.132482777777779</x:v>
      </x:c>
      <x:c r="N156" s="60" t="n">
        <x:v>215.44</x:v>
      </x:c>
      <x:c r="O156" s="60" t="n">
        <x:v>18.0614065173125</x:v>
      </x:c>
      <x:c r="P156" s="60" t="n">
        <x:v>17.488786659024477</x:v>
      </x:c>
      <x:c r="Q156" s="60" t="n">
        <x:v>-0.5726198582880206</x:v>
      </x:c>
      <x:c r="R156" s="63" t="n">
        <x:v>-3.1704056809703287</x:v>
      </x:c>
    </x:row>
    <x:row r="157" ht="15.75" customHeight="1">
      <x:c r="A157" s="70" t="n">
        <x:v>8</x:v>
      </x:c>
      <x:c r="B157" s="54" t="str">
        <x:v>UP008_20240701_214424_R382</x:v>
      </x:c>
      <x:c r="C157" s="88" t="n">
        <x:v>26</x:v>
      </x:c>
      <x:c r="D157" s="54" t="str">
        <x:v>镇海大道-骆驼桥</x:v>
      </x:c>
      <x:c r="E157" s="88" t="n">
        <x:v>7</x:v>
      </x:c>
      <x:c r="F157" s="88" t="n">
        <x:v>407</x:v>
      </x:c>
      <x:c r="G157" s="54" t="str">
        <x:v>2024-07-01 22:45:59</x:v>
      </x:c>
      <x:c r="H157" s="54" t="str">
        <x:v>2024-07-01 22:47:56</x:v>
      </x:c>
      <x:c r="I157" s="54" t="str">
        <x:v>traceability-cache</x:v>
      </x:c>
      <x:c r="J157" s="54" t="str">
        <x:v>cache</x:v>
      </x:c>
      <x:c r="K157" s="88" t="n">
        <x:v>2340</x:v>
      </x:c>
      <x:c r="L157" s="60" t="n">
        <x:v>116.95</x:v>
      </x:c>
      <x:c r="M157" s="60" t="n">
        <x:v>1.596758194444454</x:v>
      </x:c>
      <x:c r="N157" s="60" t="n">
        <x:v>215.34</x:v>
      </x:c>
      <x:c r="O157" s="60" t="n">
        <x:v>20.53968068713194</x:v>
      </x:c>
      <x:c r="P157" s="60" t="n">
        <x:v>18.88619565883091</x:v>
      </x:c>
      <x:c r="Q157" s="60" t="n">
        <x:v>-1.653485028301031</x:v>
      </x:c>
      <x:c r="R157" s="63" t="n">
        <x:v>-8.050198313632672</x:v>
      </x:c>
    </x:row>
    <x:row r="158" ht="15.75" customHeight="1">
      <x:c r="A158" s="70" t="n">
        <x:v>10</x:v>
      </x:c>
      <x:c r="B158" s="54" t="str">
        <x:v>UP010_20240702_094840_R494</x:v>
      </x:c>
      <x:c r="C158" s="88" t="n">
        <x:v>1</x:v>
      </x:c>
      <x:c r="D158" s="54" t="str">
        <x:v>布政-张家潭</x:v>
      </x:c>
      <x:c r="E158" s="88" t="n">
        <x:v>9</x:v>
      </x:c>
      <x:c r="F158" s="88" t="n">
        <x:v>494</x:v>
      </x:c>
      <x:c r="G158" s="54" t="str">
        <x:v>2024-07-02 09:48:40</x:v>
      </x:c>
      <x:c r="H158" s="54" t="str">
        <x:v>2024-07-02 09:50:37</x:v>
      </x:c>
      <x:c r="I158" s="54" t="str">
        <x:v>traceability-cache</x:v>
      </x:c>
      <x:c r="J158" s="54" t="str">
        <x:v>cache</x:v>
      </x:c>
      <x:c r="K158" s="88" t="n">
        <x:v>2352</x:v>
      </x:c>
      <x:c r="L158" s="60" t="n">
        <x:v>117.55</x:v>
      </x:c>
      <x:c r="M158" s="60" t="n">
        <x:v>1.428409583333331</x:v>
      </x:c>
      <x:c r="N158" s="60" t="n">
        <x:v>215.24</x:v>
      </x:c>
      <x:c r="O158" s="60" t="n">
        <x:v>13.943571187291669</x:v>
      </x:c>
      <x:c r="P158" s="60" t="n">
        <x:v>13.901451754551012</x:v>
      </x:c>
      <x:c r="Q158" s="60" t="n">
        <x:v>-0.0421194327406537</x:v>
      </x:c>
      <x:c r="R158" s="63" t="n">
        <x:v>-0.3020706257737037</x:v>
      </x:c>
    </x:row>
    <x:row r="159" ht="15.75" customHeight="1">
      <x:c r="A159" s="70" t="n">
        <x:v>10</x:v>
      </x:c>
      <x:c r="B159" s="54" t="str">
        <x:v>UP010_20240702_094840_R494</x:v>
      </x:c>
      <x:c r="C159" s="88" t="n">
        <x:v>2</x:v>
      </x:c>
      <x:c r="D159" s="54" t="str">
        <x:v>张家潭-同德路</x:v>
      </x:c>
      <x:c r="E159" s="88" t="n">
        <x:v>9</x:v>
      </x:c>
      <x:c r="F159" s="88" t="n">
        <x:v>495</x:v>
      </x:c>
      <x:c r="G159" s="54" t="str">
        <x:v>2024-07-02 09:51:07</x:v>
      </x:c>
      <x:c r="H159" s="54" t="str">
        <x:v>2024-07-02 09:53:37</x:v>
      </x:c>
      <x:c r="I159" s="54" t="str">
        <x:v>traceability-cache</x:v>
      </x:c>
      <x:c r="J159" s="54" t="str">
        <x:v>cache</x:v>
      </x:c>
      <x:c r="K159" s="88" t="n">
        <x:v>3004</x:v>
      </x:c>
      <x:c r="L159" s="60" t="n">
        <x:v>150.15</x:v>
      </x:c>
      <x:c r="M159" s="60" t="n">
        <x:v>2.021235416666662</x:v>
      </x:c>
      <x:c r="N159" s="60" t="n">
        <x:v>215.24</x:v>
      </x:c>
      <x:c r="O159" s="60" t="n">
        <x:v>17.920704951868057</x:v>
      </x:c>
      <x:c r="P159" s="60" t="n">
        <x:v>17.222258141346483</x:v>
      </x:c>
      <x:c r="Q159" s="60" t="n">
        <x:v>-0.6984468105215746</x:v>
      </x:c>
      <x:c r="R159" s="63" t="n">
        <x:v>-3.897429327682605</x:v>
      </x:c>
    </x:row>
    <x:row r="160" ht="15.75" customHeight="1">
      <x:c r="A160" s="70" t="n">
        <x:v>10</x:v>
      </x:c>
      <x:c r="B160" s="54" t="str">
        <x:v>UP010_20240702_094840_R494</x:v>
      </x:c>
      <x:c r="C160" s="88" t="n">
        <x:v>3</x:v>
      </x:c>
      <x:c r="D160" s="54" t="str">
        <x:v>同德路-石碶</x:v>
      </x:c>
      <x:c r="E160" s="88" t="n">
        <x:v>9</x:v>
      </x:c>
      <x:c r="F160" s="88" t="n">
        <x:v>496</x:v>
      </x:c>
      <x:c r="G160" s="54" t="str">
        <x:v>2024-07-02 09:54:07</x:v>
      </x:c>
      <x:c r="H160" s="54" t="str">
        <x:v>2024-07-02 09:55:58</x:v>
      </x:c>
      <x:c r="I160" s="54" t="str">
        <x:v>traceability-cache</x:v>
      </x:c>
      <x:c r="J160" s="54" t="str">
        <x:v>cache</x:v>
      </x:c>
      <x:c r="K160" s="88" t="n">
        <x:v>2216</x:v>
      </x:c>
      <x:c r="L160" s="60" t="n">
        <x:v>110.75</x:v>
      </x:c>
      <x:c r="M160" s="60" t="n">
        <x:v>1.330515555555555</x:v>
      </x:c>
      <x:c r="N160" s="60" t="n">
        <x:v>215.24</x:v>
      </x:c>
      <x:c r="O160" s="60" t="n">
        <x:v>12.94120388415278</x:v>
      </x:c>
      <x:c r="P160" s="60" t="n">
        <x:v>12.701395481032549</x:v>
      </x:c>
      <x:c r="Q160" s="60" t="n">
        <x:v>-0.2398084031202324</x:v>
      </x:c>
      <x:c r="R160" s="63" t="n">
        <x:v>-1.853061007823941</x:v>
      </x:c>
    </x:row>
    <x:row r="161" ht="15.75" customHeight="1">
      <x:c r="A161" s="70" t="n">
        <x:v>10</x:v>
      </x:c>
      <x:c r="B161" s="54" t="str">
        <x:v>UP010_20240702_094840_R494</x:v>
      </x:c>
      <x:c r="C161" s="88" t="n">
        <x:v>4</x:v>
      </x:c>
      <x:c r="D161" s="54" t="str">
        <x:v>石碶-雅渡</x:v>
      </x:c>
      <x:c r="E161" s="88" t="n">
        <x:v>9</x:v>
      </x:c>
      <x:c r="F161" s="88" t="n">
        <x:v>497</x:v>
      </x:c>
      <x:c r="G161" s="54" t="str">
        <x:v>2024-07-02 09:56:32</x:v>
      </x:c>
      <x:c r="H161" s="54" t="str">
        <x:v>2024-07-02 09:57:56</x:v>
      </x:c>
      <x:c r="I161" s="54" t="str">
        <x:v>traceability-cache</x:v>
      </x:c>
      <x:c r="J161" s="54" t="str">
        <x:v>cache</x:v>
      </x:c>
      <x:c r="K161" s="88" t="n">
        <x:v>1674</x:v>
      </x:c>
      <x:c r="L161" s="60" t="n">
        <x:v>83.65</x:v>
      </x:c>
      <x:c r="M161" s="60" t="n">
        <x:v>0.8274451388888868</x:v>
      </x:c>
      <x:c r="N161" s="60" t="n">
        <x:v>215.24</x:v>
      </x:c>
      <x:c r="O161" s="60" t="n">
        <x:v>13.296541783305557</x:v>
      </x:c>
      <x:c r="P161" s="60" t="n">
        <x:v>13.295724642059255</x:v>
      </x:c>
      <x:c r="Q161" s="60" t="n">
        <x:v>-0.0008171412463016</x:v>
      </x:c>
      <x:c r="R161" s="63" t="n">
        <x:v>-0.0061455170796934</x:v>
      </x:c>
    </x:row>
    <x:row r="162" ht="15.75" customHeight="1">
      <x:c r="A162" s="70" t="n">
        <x:v>10</x:v>
      </x:c>
      <x:c r="B162" s="54" t="str">
        <x:v>UP010_20240702_094840_R494</x:v>
      </x:c>
      <x:c r="C162" s="88" t="n">
        <x:v>5</x:v>
      </x:c>
      <x:c r="D162" s="54" t="str">
        <x:v>雅渡-庙堰</x:v>
      </x:c>
      <x:c r="E162" s="88" t="n">
        <x:v>9</x:v>
      </x:c>
      <x:c r="F162" s="88" t="n">
        <x:v>498</x:v>
      </x:c>
      <x:c r="G162" s="54" t="str">
        <x:v>2024-07-02 09:58:25</x:v>
      </x:c>
      <x:c r="H162" s="54" t="str">
        <x:v>2024-07-02 10:00:35</x:v>
      </x:c>
      <x:c r="I162" s="54" t="str">
        <x:v>traceability-cache</x:v>
      </x:c>
      <x:c r="J162" s="54" t="str">
        <x:v>cache</x:v>
      </x:c>
      <x:c r="K162" s="88" t="n">
        <x:v>2602</x:v>
      </x:c>
      <x:c r="L162" s="60" t="n">
        <x:v>130.05</x:v>
      </x:c>
      <x:c r="M162" s="60" t="n">
        <x:v>1.8612454166666657</x:v>
      </x:c>
      <x:c r="N162" s="60" t="n">
        <x:v>215.34</x:v>
      </x:c>
      <x:c r="O162" s="60" t="n">
        <x:v>21.36644474522222</x:v>
      </x:c>
      <x:c r="P162" s="60" t="n">
        <x:v>20.70779360215137</x:v>
      </x:c>
      <x:c r="Q162" s="60" t="n">
        <x:v>-0.6586511430708524</x:v>
      </x:c>
      <x:c r="R162" s="63" t="n">
        <x:v>-3.0826426713697157</x:v>
      </x:c>
    </x:row>
    <x:row r="163" ht="15.75" customHeight="1">
      <x:c r="A163" s="70" t="n">
        <x:v>10</x:v>
      </x:c>
      <x:c r="B163" s="54" t="str">
        <x:v>UP010_20240702_094840_R494</x:v>
      </x:c>
      <x:c r="C163" s="88" t="n">
        <x:v>6</x:v>
      </x:c>
      <x:c r="D163" s="54" t="str">
        <x:v>庙堰-钟公庙</x:v>
      </x:c>
      <x:c r="E163" s="88" t="n">
        <x:v>9</x:v>
      </x:c>
      <x:c r="F163" s="88" t="n">
        <x:v>499</x:v>
      </x:c>
      <x:c r="G163" s="54" t="str">
        <x:v>2024-07-02 10:01:06</x:v>
      </x:c>
      <x:c r="H163" s="54" t="str">
        <x:v>2024-07-02 10:02:41</x:v>
      </x:c>
      <x:c r="I163" s="54" t="str">
        <x:v>traceability-cache</x:v>
      </x:c>
      <x:c r="J163" s="54" t="str">
        <x:v>cache</x:v>
      </x:c>
      <x:c r="K163" s="88" t="n">
        <x:v>1900</x:v>
      </x:c>
      <x:c r="L163" s="60" t="n">
        <x:v>94.95</x:v>
      </x:c>
      <x:c r="M163" s="60" t="n">
        <x:v>1.087059166666666</x:v>
      </x:c>
      <x:c r="N163" s="60" t="n">
        <x:v>215.44</x:v>
      </x:c>
      <x:c r="O163" s="60" t="n">
        <x:v>12.998149440208332</x:v>
      </x:c>
      <x:c r="P163" s="60" t="n">
        <x:v>12.967109332917472</x:v>
      </x:c>
      <x:c r="Q163" s="60" t="n">
        <x:v>-0.0310401072908589</x:v>
      </x:c>
      <x:c r="R163" s="63" t="n">
        <x:v>-0.2388040500199191</x:v>
      </x:c>
    </x:row>
    <x:row r="164" ht="15.75" customHeight="1">
      <x:c r="A164" s="70" t="n">
        <x:v>10</x:v>
      </x:c>
      <x:c r="B164" s="54" t="str">
        <x:v>UP010_20240702_094840_R494</x:v>
      </x:c>
      <x:c r="C164" s="88" t="n">
        <x:v>7</x:v>
      </x:c>
      <x:c r="D164" s="54" t="str">
        <x:v>钟公庙-鄞州区政府</x:v>
      </x:c>
      <x:c r="E164" s="88" t="n">
        <x:v>9</x:v>
      </x:c>
      <x:c r="F164" s="88" t="n">
        <x:v>500</x:v>
      </x:c>
      <x:c r="G164" s="54" t="str">
        <x:v>2024-07-02 10:03:11</x:v>
      </x:c>
      <x:c r="H164" s="54" t="str">
        <x:v>2024-07-02 10:04:42</x:v>
      </x:c>
      <x:c r="I164" s="54" t="str">
        <x:v>traceability-cache</x:v>
      </x:c>
      <x:c r="J164" s="54" t="str">
        <x:v>cache</x:v>
      </x:c>
      <x:c r="K164" s="88" t="n">
        <x:v>1813</x:v>
      </x:c>
      <x:c r="L164" s="60" t="n">
        <x:v>90.6</x:v>
      </x:c>
      <x:c r="M164" s="60" t="n">
        <x:v>0.9846941666666668</x:v>
      </x:c>
      <x:c r="N164" s="60" t="n">
        <x:v>215.34</x:v>
      </x:c>
      <x:c r="O164" s="60" t="n">
        <x:v>10.119267913694449</x:v>
      </x:c>
      <x:c r="P164" s="60" t="n">
        <x:v>10.760426782413097</x:v>
      </x:c>
      <x:c r="Q164" s="60" t="n">
        <x:v>0.6411588687186486</x:v>
      </x:c>
      <x:c r="R164" s="63" t="n">
        <x:v>6.336020295015272</x:v>
      </x:c>
    </x:row>
    <x:row r="165" ht="15.75" customHeight="1">
      <x:c r="A165" s="70" t="n">
        <x:v>10</x:v>
      </x:c>
      <x:c r="B165" s="54" t="str">
        <x:v>UP010_20240702_094840_R494</x:v>
      </x:c>
      <x:c r="C165" s="88" t="n">
        <x:v>8</x:v>
      </x:c>
      <x:c r="D165" s="54" t="str">
        <x:v>鄞州区政府-钱湖南路</x:v>
      </x:c>
      <x:c r="E165" s="88" t="n">
        <x:v>9</x:v>
      </x:c>
      <x:c r="F165" s="88" t="n">
        <x:v>501</x:v>
      </x:c>
      <x:c r="G165" s="54" t="str">
        <x:v>2024-07-02 10:05:22</x:v>
      </x:c>
      <x:c r="H165" s="54" t="str">
        <x:v>2024-07-02 10:07:33</x:v>
      </x:c>
      <x:c r="I165" s="54" t="str">
        <x:v>traceability-cache</x:v>
      </x:c>
      <x:c r="J165" s="54" t="str">
        <x:v>cache</x:v>
      </x:c>
      <x:c r="K165" s="88" t="n">
        <x:v>2630</x:v>
      </x:c>
      <x:c r="L165" s="60" t="n">
        <x:v>131.45</x:v>
      </x:c>
      <x:c r="M165" s="60" t="n">
        <x:v>1.813324861111112</x:v>
      </x:c>
      <x:c r="N165" s="60" t="n">
        <x:v>215.54</x:v>
      </x:c>
      <x:c r="O165" s="60" t="n">
        <x:v>16.77685780288889</x:v>
      </x:c>
      <x:c r="P165" s="60" t="n">
        <x:v>15.680218764350409</x:v>
      </x:c>
      <x:c r="Q165" s="60" t="n">
        <x:v>-1.096639038538484</x:v>
      </x:c>
      <x:c r="R165" s="63" t="n">
        <x:v>-6.5366175920597485</x:v>
      </x:c>
    </x:row>
    <x:row r="166" ht="15.75" customHeight="1">
      <x:c r="A166" s="70" t="n">
        <x:v>10</x:v>
      </x:c>
      <x:c r="B166" s="54" t="str">
        <x:v>UP010_20240702_094840_R494</x:v>
      </x:c>
      <x:c r="C166" s="88" t="n">
        <x:v>9</x:v>
      </x:c>
      <x:c r="D166" s="54" t="str">
        <x:v>钱湖南路-南高教园区</x:v>
      </x:c>
      <x:c r="E166" s="88" t="n">
        <x:v>9</x:v>
      </x:c>
      <x:c r="F166" s="88" t="n">
        <x:v>502</x:v>
      </x:c>
      <x:c r="G166" s="54" t="str">
        <x:v>2024-07-02 10:08:03</x:v>
      </x:c>
      <x:c r="H166" s="54" t="str">
        <x:v>2024-07-02 10:09:43</x:v>
      </x:c>
      <x:c r="I166" s="54" t="str">
        <x:v>traceability-cache</x:v>
      </x:c>
      <x:c r="J166" s="54" t="str">
        <x:v>cache</x:v>
      </x:c>
      <x:c r="K166" s="88" t="n">
        <x:v>2003</x:v>
      </x:c>
      <x:c r="L166" s="60" t="n">
        <x:v>100.1</x:v>
      </x:c>
      <x:c r="M166" s="60" t="n">
        <x:v>1.169206249999997</x:v>
      </x:c>
      <x:c r="N166" s="60" t="n">
        <x:v>215.54</x:v>
      </x:c>
      <x:c r="O166" s="60" t="n">
        <x:v>13.82346180522222</x:v>
      </x:c>
      <x:c r="P166" s="60" t="n">
        <x:v>13.894699582758475</x:v>
      </x:c>
      <x:c r="Q166" s="60" t="n">
        <x:v>0.0712377775362565</x:v>
      </x:c>
      <x:c r="R166" s="63" t="n">
        <x:v>0.5153396344564309</x:v>
      </x:c>
    </x:row>
    <x:row r="167" ht="15.75" customHeight="1">
      <x:c r="A167" s="70" t="n">
        <x:v>10</x:v>
      </x:c>
      <x:c r="B167" s="54" t="str">
        <x:v>UP010_20240702_094840_R494</x:v>
      </x:c>
      <x:c r="C167" s="88" t="n">
        <x:v>10</x:v>
      </x:c>
      <x:c r="D167" s="54" t="str">
        <x:v>南高教园区-下应路</x:v>
      </x:c>
      <x:c r="E167" s="88" t="n">
        <x:v>9</x:v>
      </x:c>
      <x:c r="F167" s="88" t="n">
        <x:v>503</x:v>
      </x:c>
      <x:c r="G167" s="54" t="str">
        <x:v>2024-07-02 10:10:18</x:v>
      </x:c>
      <x:c r="H167" s="54" t="str">
        <x:v>2024-07-02 10:12:13</x:v>
      </x:c>
      <x:c r="I167" s="54" t="str">
        <x:v>traceability-cache</x:v>
      </x:c>
      <x:c r="J167" s="54" t="str">
        <x:v>cache</x:v>
      </x:c>
      <x:c r="K167" s="88" t="n">
        <x:v>2300</x:v>
      </x:c>
      <x:c r="L167" s="60" t="n">
        <x:v>114.95</x:v>
      </x:c>
      <x:c r="M167" s="60" t="n">
        <x:v>1.452629722222222</x:v>
      </x:c>
      <x:c r="N167" s="60" t="n">
        <x:v>215.54</x:v>
      </x:c>
      <x:c r="O167" s="60" t="n">
        <x:v>18.59399597928472</x:v>
      </x:c>
      <x:c r="P167" s="60" t="n">
        <x:v>17.669113545330273</x:v>
      </x:c>
      <x:c r="Q167" s="60" t="n">
        <x:v>-0.924882433954448</x:v>
      </x:c>
      <x:c r="R167" s="63" t="n">
        <x:v>-4.974091825043121</x:v>
      </x:c>
    </x:row>
    <x:row r="168" ht="15.75" customHeight="1">
      <x:c r="A168" s="70" t="n">
        <x:v>10</x:v>
      </x:c>
      <x:c r="B168" s="54" t="str">
        <x:v>UP010_20240702_094840_R494</x:v>
      </x:c>
      <x:c r="C168" s="88" t="n">
        <x:v>11</x:v>
      </x:c>
      <x:c r="D168" s="54" t="str">
        <x:v>下应路-大洋江</x:v>
      </x:c>
      <x:c r="E168" s="88" t="n">
        <x:v>9</x:v>
      </x:c>
      <x:c r="F168" s="88" t="n">
        <x:v>504</x:v>
      </x:c>
      <x:c r="G168" s="54" t="str">
        <x:v>2024-07-02 10:12:43</x:v>
      </x:c>
      <x:c r="H168" s="54" t="str">
        <x:v>2024-07-02 10:14:28</x:v>
      </x:c>
      <x:c r="I168" s="54" t="str">
        <x:v>traceability-cache</x:v>
      </x:c>
      <x:c r="J168" s="54" t="str">
        <x:v>cache</x:v>
      </x:c>
      <x:c r="K168" s="88" t="n">
        <x:v>2110</x:v>
      </x:c>
      <x:c r="L168" s="60" t="n">
        <x:v>105.45</x:v>
      </x:c>
      <x:c r="M168" s="60" t="n">
        <x:v>1.214513888888888</x:v>
      </x:c>
      <x:c r="N168" s="60" t="n">
        <x:v>215.84</x:v>
      </x:c>
      <x:c r="O168" s="60" t="n">
        <x:v>11.41275427204861</x:v>
      </x:c>
      <x:c r="P168" s="60" t="n">
        <x:v>11.004366957359288</x:v>
      </x:c>
      <x:c r="Q168" s="60" t="n">
        <x:v>-0.408387314689322</x:v>
      </x:c>
      <x:c r="R168" s="63" t="n">
        <x:v>-3.578341432352733</x:v>
      </x:c>
    </x:row>
    <x:row r="169" ht="15.75" customHeight="1">
      <x:c r="A169" s="70" t="n">
        <x:v>10</x:v>
      </x:c>
      <x:c r="B169" s="54" t="str">
        <x:v>UP010_20240702_094840_R494</x:v>
      </x:c>
      <x:c r="C169" s="88" t="n">
        <x:v>12</x:v>
      </x:c>
      <x:c r="D169" s="54" t="str">
        <x:v>大洋江-泗港</x:v>
      </x:c>
      <x:c r="E169" s="88" t="n">
        <x:v>9</x:v>
      </x:c>
      <x:c r="F169" s="88" t="n">
        <x:v>505</x:v>
      </x:c>
      <x:c r="G169" s="54" t="str">
        <x:v>2024-07-02 10:14:57</x:v>
      </x:c>
      <x:c r="H169" s="54" t="str">
        <x:v>2024-07-02 10:16:31</x:v>
      </x:c>
      <x:c r="I169" s="54" t="str">
        <x:v>traceability-cache</x:v>
      </x:c>
      <x:c r="J169" s="54" t="str">
        <x:v>cache</x:v>
      </x:c>
      <x:c r="K169" s="88" t="n">
        <x:v>1863</x:v>
      </x:c>
      <x:c r="L169" s="60" t="n">
        <x:v>93.1</x:v>
      </x:c>
      <x:c r="M169" s="60" t="n">
        <x:v>0.9582573611111096</x:v>
      </x:c>
      <x:c r="N169" s="60" t="n">
        <x:v>215.94</x:v>
      </x:c>
      <x:c r="O169" s="60" t="n">
        <x:v>10.707051230215278</x:v>
      </x:c>
      <x:c r="P169" s="60" t="n">
        <x:v>10.90704191975482</x:v>
      </x:c>
      <x:c r="Q169" s="60" t="n">
        <x:v>0.1999906895395433</x:v>
      </x:c>
      <x:c r="R169" s="63" t="n">
        <x:v>1.8678409698383625</x:v>
      </x:c>
    </x:row>
    <x:row r="170" ht="15.75" customHeight="1">
      <x:c r="A170" s="70" t="n">
        <x:v>10</x:v>
      </x:c>
      <x:c r="B170" s="54" t="str">
        <x:v>UP010_20240702_094840_R494</x:v>
      </x:c>
      <x:c r="C170" s="88" t="n">
        <x:v>13</x:v>
      </x:c>
      <x:c r="D170" s="54" t="str">
        <x:v>泗港-曹隘</x:v>
      </x:c>
      <x:c r="E170" s="88" t="n">
        <x:v>9</x:v>
      </x:c>
      <x:c r="F170" s="88" t="n">
        <x:v>506</x:v>
      </x:c>
      <x:c r="G170" s="54" t="str">
        <x:v>2024-07-02 10:17:01</x:v>
      </x:c>
      <x:c r="H170" s="54" t="str">
        <x:v>2024-07-02 10:19:15</x:v>
      </x:c>
      <x:c r="I170" s="54" t="str">
        <x:v>traceability-cache</x:v>
      </x:c>
      <x:c r="J170" s="54" t="str">
        <x:v>cache</x:v>
      </x:c>
      <x:c r="K170" s="88" t="n">
        <x:v>2682</x:v>
      </x:c>
      <x:c r="L170" s="60" t="n">
        <x:v>134.05</x:v>
      </x:c>
      <x:c r="M170" s="60" t="n">
        <x:v>1.798498472222222</x:v>
      </x:c>
      <x:c r="N170" s="60" t="n">
        <x:v>215.84</x:v>
      </x:c>
      <x:c r="O170" s="60" t="n">
        <x:v>22.613503511597223</x:v>
      </x:c>
      <x:c r="P170" s="60" t="n">
        <x:v>22.9289519105682</x:v>
      </x:c>
      <x:c r="Q170" s="60" t="n">
        <x:v>0.3154483989709734</x:v>
      </x:c>
      <x:c r="R170" s="63" t="n">
        <x:v>1.394955889118186</x:v>
      </x:c>
    </x:row>
    <x:row r="171" ht="15.75" customHeight="1">
      <x:c r="A171" s="70" t="n">
        <x:v>10</x:v>
      </x:c>
      <x:c r="B171" s="54" t="str">
        <x:v>UP010_20240702_094840_R494</x:v>
      </x:c>
      <x:c r="C171" s="88" t="n">
        <x:v>14</x:v>
      </x:c>
      <x:c r="D171" s="54" t="str">
        <x:v>曹隘-柳隘</x:v>
      </x:c>
      <x:c r="E171" s="88" t="n">
        <x:v>9</x:v>
      </x:c>
      <x:c r="F171" s="88" t="n">
        <x:v>507</x:v>
      </x:c>
      <x:c r="G171" s="54" t="str">
        <x:v>2024-07-02 10:19:46</x:v>
      </x:c>
      <x:c r="H171" s="54" t="str">
        <x:v>2024-07-02 10:21:33</x:v>
      </x:c>
      <x:c r="I171" s="54" t="str">
        <x:v>traceability-cache</x:v>
      </x:c>
      <x:c r="J171" s="54" t="str">
        <x:v>cache</x:v>
      </x:c>
      <x:c r="K171" s="88" t="n">
        <x:v>2140</x:v>
      </x:c>
      <x:c r="L171" s="60" t="n">
        <x:v>106.95</x:v>
      </x:c>
      <x:c r="M171" s="60" t="n">
        <x:v>1.307608055555553</x:v>
      </x:c>
      <x:c r="N171" s="60" t="n">
        <x:v>215.94</x:v>
      </x:c>
      <x:c r="O171" s="60" t="n">
        <x:v>20.94162342873611</x:v>
      </x:c>
      <x:c r="P171" s="60" t="n">
        <x:v>21.77981081696493</x:v>
      </x:c>
      <x:c r="Q171" s="60" t="n">
        <x:v>0.8381873882288164</x:v>
      </x:c>
      <x:c r="R171" s="63" t="n">
        <x:v>4.002494797412196</x:v>
      </x:c>
    </x:row>
    <x:row r="172" ht="15.75" customHeight="1">
      <x:c r="A172" s="70" t="n">
        <x:v>10</x:v>
      </x:c>
      <x:c r="B172" s="54" t="str">
        <x:v>UP010_20240702_094840_R494</x:v>
      </x:c>
      <x:c r="C172" s="88" t="n">
        <x:v>15</x:v>
      </x:c>
      <x:c r="D172" s="54" t="str">
        <x:v>柳隘-海晏北路</x:v>
      </x:c>
      <x:c r="E172" s="88" t="n">
        <x:v>9</x:v>
      </x:c>
      <x:c r="F172" s="88" t="n">
        <x:v>508</x:v>
      </x:c>
      <x:c r="G172" s="54" t="str">
        <x:v>2024-07-02 10:22:02</x:v>
      </x:c>
      <x:c r="H172" s="54" t="str">
        <x:v>2024-07-02 10:23:31</x:v>
      </x:c>
      <x:c r="I172" s="54" t="str">
        <x:v>traceability-cache</x:v>
      </x:c>
      <x:c r="J172" s="54" t="str">
        <x:v>cache</x:v>
      </x:c>
      <x:c r="K172" s="88" t="n">
        <x:v>1775</x:v>
      </x:c>
      <x:c r="L172" s="60" t="n">
        <x:v>88.7</x:v>
      </x:c>
      <x:c r="M172" s="60" t="n">
        <x:v>0.9807855555555548</x:v>
      </x:c>
      <x:c r="N172" s="60" t="n">
        <x:v>216.04</x:v>
      </x:c>
      <x:c r="O172" s="60" t="n">
        <x:v>14.562568801888888</x:v>
      </x:c>
      <x:c r="P172" s="60" t="n">
        <x:v>14.727768775927272</x:v>
      </x:c>
      <x:c r="Q172" s="60" t="n">
        <x:v>0.1651999740383835</x:v>
      </x:c>
      <x:c r="R172" s="63" t="n">
        <x:v>1.1344150629314498</x:v>
      </x:c>
    </x:row>
    <x:row r="173" ht="15.75" customHeight="1">
      <x:c r="A173" s="70" t="n">
        <x:v>10</x:v>
      </x:c>
      <x:c r="B173" s="54" t="str">
        <x:v>UP010_20240702_094840_R494</x:v>
      </x:c>
      <x:c r="C173" s="88" t="n">
        <x:v>16</x:v>
      </x:c>
      <x:c r="D173" s="54" t="str">
        <x:v>海晏北路-民安东路</x:v>
      </x:c>
      <x:c r="E173" s="88" t="n">
        <x:v>9</x:v>
      </x:c>
      <x:c r="F173" s="88" t="n">
        <x:v>509</x:v>
      </x:c>
      <x:c r="G173" s="54" t="str">
        <x:v>2024-07-02 10:24:16</x:v>
      </x:c>
      <x:c r="H173" s="54" t="str">
        <x:v>2024-07-02 10:25:40</x:v>
      </x:c>
      <x:c r="I173" s="54" t="str">
        <x:v>traceability-cache</x:v>
      </x:c>
      <x:c r="J173" s="54" t="str">
        <x:v>cache</x:v>
      </x:c>
      <x:c r="K173" s="88" t="n">
        <x:v>1678</x:v>
      </x:c>
      <x:c r="L173" s="60" t="n">
        <x:v>83.85</x:v>
      </x:c>
      <x:c r="M173" s="60" t="n">
        <x:v>0.864970833333333</x:v>
      </x:c>
      <x:c r="N173" s="60" t="n">
        <x:v>216.64</x:v>
      </x:c>
      <x:c r="O173" s="60" t="n">
        <x:v>15.744230358909723</x:v>
      </x:c>
      <x:c r="P173" s="60" t="n">
        <x:v>16.085283874295126</x:v>
      </x:c>
      <x:c r="Q173" s="60" t="n">
        <x:v>0.3410535153854034</x:v>
      </x:c>
      <x:c r="R173" s="63" t="n">
        <x:v>2.1662126862390574</x:v>
      </x:c>
    </x:row>
    <x:row r="174" ht="15.75" customHeight="1">
      <x:c r="A174" s="70" t="n">
        <x:v>10</x:v>
      </x:c>
      <x:c r="B174" s="54" t="str">
        <x:v>UP010_20240702_094840_R494</x:v>
      </x:c>
      <x:c r="C174" s="88" t="n">
        <x:v>17</x:v>
      </x:c>
      <x:c r="D174" s="54" t="str">
        <x:v>民安东路-会展中心</x:v>
      </x:c>
      <x:c r="E174" s="88" t="n">
        <x:v>9</x:v>
      </x:c>
      <x:c r="F174" s="88" t="n">
        <x:v>510</x:v>
      </x:c>
      <x:c r="G174" s="54" t="str">
        <x:v>2024-07-02 10:26:09</x:v>
      </x:c>
      <x:c r="H174" s="54" t="str">
        <x:v>2024-07-02 10:27:27</x:v>
      </x:c>
      <x:c r="I174" s="54" t="str">
        <x:v>traceability-cache</x:v>
      </x:c>
      <x:c r="J174" s="54" t="str">
        <x:v>cache</x:v>
      </x:c>
      <x:c r="K174" s="88" t="n">
        <x:v>1544</x:v>
      </x:c>
      <x:c r="L174" s="60" t="n">
        <x:v>77.15</x:v>
      </x:c>
      <x:c r="M174" s="60" t="n">
        <x:v>0.7261373611111115</x:v>
      </x:c>
      <x:c r="N174" s="60" t="n">
        <x:v>216.94</x:v>
      </x:c>
      <x:c r="O174" s="60" t="n">
        <x:v>12.445579185791669</x:v>
      </x:c>
      <x:c r="P174" s="60" t="n">
        <x:v>12.828060642811462</x:v>
      </x:c>
      <x:c r="Q174" s="60" t="n">
        <x:v>0.3824814570197941</x:v>
      </x:c>
      <x:c r="R174" s="63" t="n">
        <x:v>3.073231476896222</x:v>
      </x:c>
    </x:row>
    <x:row r="175" ht="15.75" customHeight="1">
      <x:c r="A175" s="70" t="n">
        <x:v>10</x:v>
      </x:c>
      <x:c r="B175" s="54" t="str">
        <x:v>UP010_20240702_094840_R494</x:v>
      </x:c>
      <x:c r="C175" s="88" t="n">
        <x:v>18</x:v>
      </x:c>
      <x:c r="D175" s="54" t="str">
        <x:v>会展中心-院士路</x:v>
      </x:c>
      <x:c r="E175" s="88" t="n">
        <x:v>9</x:v>
      </x:c>
      <x:c r="F175" s="88" t="n">
        <x:v>511</x:v>
      </x:c>
      <x:c r="G175" s="54" t="str">
        <x:v>2024-07-02 10:28:01</x:v>
      </x:c>
      <x:c r="H175" s="54" t="str">
        <x:v>2024-07-02 10:29:56</x:v>
      </x:c>
      <x:c r="I175" s="54" t="str">
        <x:v>traceability-cache</x:v>
      </x:c>
      <x:c r="J175" s="54" t="str">
        <x:v>cache</x:v>
      </x:c>
      <x:c r="K175" s="88" t="n">
        <x:v>2287</x:v>
      </x:c>
      <x:c r="L175" s="60" t="n">
        <x:v>114.3</x:v>
      </x:c>
      <x:c r="M175" s="60" t="n">
        <x:v>1.5520172222222228</x:v>
      </x:c>
      <x:c r="N175" s="60" t="n">
        <x:v>216.84</x:v>
      </x:c>
      <x:c r="O175" s="60" t="n">
        <x:v>14.91802210821528</x:v>
      </x:c>
      <x:c r="P175" s="60" t="n">
        <x:v>15.035763247551204</x:v>
      </x:c>
      <x:c r="Q175" s="60" t="n">
        <x:v>0.1177411393359252</x:v>
      </x:c>
      <x:c r="R175" s="63" t="n">
        <x:v>0.7892543561192727</x:v>
      </x:c>
    </x:row>
    <x:row r="176" ht="15.75" customHeight="1">
      <x:c r="A176" s="70" t="n">
        <x:v>10</x:v>
      </x:c>
      <x:c r="B176" s="54" t="str">
        <x:v>UP010_20240702_094840_R494</x:v>
      </x:c>
      <x:c r="C176" s="88" t="n">
        <x:v>19</x:v>
      </x:c>
      <x:c r="D176" s="54" t="str">
        <x:v>院士路-盎孟港</x:v>
      </x:c>
      <x:c r="E176" s="88" t="n">
        <x:v>9</x:v>
      </x:c>
      <x:c r="F176" s="88" t="n">
        <x:v>512</x:v>
      </x:c>
      <x:c r="G176" s="54" t="str">
        <x:v>2024-07-02 10:30:26</x:v>
      </x:c>
      <x:c r="H176" s="54" t="str">
        <x:v>2024-07-02 10:31:55</x:v>
      </x:c>
      <x:c r="I176" s="54" t="str">
        <x:v>traceability-cache</x:v>
      </x:c>
      <x:c r="J176" s="54" t="str">
        <x:v>cache</x:v>
      </x:c>
      <x:c r="K176" s="88" t="n">
        <x:v>1790</x:v>
      </x:c>
      <x:c r="L176" s="60" t="n">
        <x:v>89.45</x:v>
      </x:c>
      <x:c r="M176" s="60" t="n">
        <x:v>0.9943681944444448</x:v>
      </x:c>
      <x:c r="N176" s="60" t="n">
        <x:v>216.24</x:v>
      </x:c>
      <x:c r="O176" s="60" t="n">
        <x:v>18.266796161861112</x:v>
      </x:c>
      <x:c r="P176" s="60" t="n">
        <x:v>18.45245974354324</x:v>
      </x:c>
      <x:c r="Q176" s="60" t="n">
        <x:v>0.1856635816821253</x:v>
      </x:c>
      <x:c r="R176" s="63" t="n">
        <x:v>1.0163992636528607</x:v>
      </x:c>
    </x:row>
    <x:row r="177" ht="15.75" customHeight="1">
      <x:c r="A177" s="70" t="n">
        <x:v>10</x:v>
      </x:c>
      <x:c r="B177" s="54" t="str">
        <x:v>UP010_20240702_094840_R494</x:v>
      </x:c>
      <x:c r="C177" s="88" t="n">
        <x:v>20</x:v>
      </x:c>
      <x:c r="D177" s="54" t="str">
        <x:v>盎孟港-三官堂</x:v>
      </x:c>
      <x:c r="E177" s="88" t="n">
        <x:v>9</x:v>
      </x:c>
      <x:c r="F177" s="88" t="n">
        <x:v>513</x:v>
      </x:c>
      <x:c r="G177" s="54" t="str">
        <x:v>2024-07-02 10:32:25</x:v>
      </x:c>
      <x:c r="H177" s="54" t="str">
        <x:v>2024-07-02 10:34:43</x:v>
      </x:c>
      <x:c r="I177" s="54" t="str">
        <x:v>traceability-cache</x:v>
      </x:c>
      <x:c r="J177" s="54" t="str">
        <x:v>cache</x:v>
      </x:c>
      <x:c r="K177" s="88" t="n">
        <x:v>2775</x:v>
      </x:c>
      <x:c r="L177" s="60" t="n">
        <x:v>138.7</x:v>
      </x:c>
      <x:c r="M177" s="60" t="n">
        <x:v>1.878719305555556</x:v>
      </x:c>
      <x:c r="N177" s="60" t="n">
        <x:v>215.94</x:v>
      </x:c>
      <x:c r="O177" s="60" t="n">
        <x:v>16.54762425260417</x:v>
      </x:c>
      <x:c r="P177" s="60" t="n">
        <x:v>15.52654068850038</x:v>
      </x:c>
      <x:c r="Q177" s="60" t="n">
        <x:v>-1.0210835641037883</x:v>
      </x:c>
      <x:c r="R177" s="63" t="n">
        <x:v>-6.170574993223552</x:v>
      </x:c>
    </x:row>
    <x:row r="178" ht="15.75" customHeight="1">
      <x:c r="A178" s="70" t="n">
        <x:v>10</x:v>
      </x:c>
      <x:c r="B178" s="54" t="str">
        <x:v>UP010_20240702_094840_R494</x:v>
      </x:c>
      <x:c r="C178" s="88" t="n">
        <x:v>21</x:v>
      </x:c>
      <x:c r="D178" s="54" t="str">
        <x:v>三官堂-兴庄路</x:v>
      </x:c>
      <x:c r="E178" s="88" t="n">
        <x:v>9</x:v>
      </x:c>
      <x:c r="F178" s="88" t="n">
        <x:v>514</x:v>
      </x:c>
      <x:c r="G178" s="54" t="str">
        <x:v>2024-07-02 10:35:18</x:v>
      </x:c>
      <x:c r="H178" s="54" t="str">
        <x:v>2024-07-02 10:37:03</x:v>
      </x:c>
      <x:c r="I178" s="54" t="str">
        <x:v>traceability-cache</x:v>
      </x:c>
      <x:c r="J178" s="54" t="str">
        <x:v>cache</x:v>
      </x:c>
      <x:c r="K178" s="88" t="n">
        <x:v>2101</x:v>
      </x:c>
      <x:c r="L178" s="60" t="n">
        <x:v>105</x:v>
      </x:c>
      <x:c r="M178" s="60" t="n">
        <x:v>1.0808483333333312</x:v>
      </x:c>
      <x:c r="N178" s="60" t="n">
        <x:v>215.54</x:v>
      </x:c>
      <x:c r="O178" s="60" t="n">
        <x:v>10.594894881472223</x:v>
      </x:c>
      <x:c r="P178" s="60" t="n">
        <x:v>10.516342108242403</x:v>
      </x:c>
      <x:c r="Q178" s="60" t="n">
        <x:v>-0.0785527732298196</x:v>
      </x:c>
      <x:c r="R178" s="63" t="n">
        <x:v>-0.7414209778257307</x:v>
      </x:c>
    </x:row>
    <x:row r="179" ht="15.75" customHeight="1">
      <x:c r="A179" s="70" t="n">
        <x:v>10</x:v>
      </x:c>
      <x:c r="B179" s="54" t="str">
        <x:v>UP010_20240702_094840_R494</x:v>
      </x:c>
      <x:c r="C179" s="88" t="n">
        <x:v>22</x:v>
      </x:c>
      <x:c r="D179" s="54" t="str">
        <x:v>兴庄路-兴海南路</x:v>
      </x:c>
      <x:c r="E179" s="88" t="n">
        <x:v>9</x:v>
      </x:c>
      <x:c r="F179" s="88" t="n">
        <x:v>515</x:v>
      </x:c>
      <x:c r="G179" s="54" t="str">
        <x:v>2024-07-02 10:37:34</x:v>
      </x:c>
      <x:c r="H179" s="54" t="str">
        <x:v>2024-07-02 10:39:05</x:v>
      </x:c>
      <x:c r="I179" s="54" t="str">
        <x:v>traceability-cache</x:v>
      </x:c>
      <x:c r="J179" s="54" t="str">
        <x:v>cache</x:v>
      </x:c>
      <x:c r="K179" s="88" t="n">
        <x:v>1815</x:v>
      </x:c>
      <x:c r="L179" s="60" t="n">
        <x:v>90.7</x:v>
      </x:c>
      <x:c r="M179" s="60" t="n">
        <x:v>0.9588430555555556</x:v>
      </x:c>
      <x:c r="N179" s="60" t="n">
        <x:v>215.24</x:v>
      </x:c>
      <x:c r="O179" s="60" t="n">
        <x:v>12.343506360243056</x:v>
      </x:c>
      <x:c r="P179" s="60" t="n">
        <x:v>12.184498094998675</x:v>
      </x:c>
      <x:c r="Q179" s="60" t="n">
        <x:v>-0.1590082652443779</x:v>
      </x:c>
      <x:c r="R179" s="63" t="n">
        <x:v>-1.288193651007662</x:v>
      </x:c>
    </x:row>
    <x:row r="180" ht="15.75" customHeight="1">
      <x:c r="A180" s="70" t="n">
        <x:v>10</x:v>
      </x:c>
      <x:c r="B180" s="54" t="str">
        <x:v>UP010_20240702_094840_R494</x:v>
      </x:c>
      <x:c r="C180" s="88" t="n">
        <x:v>23</x:v>
      </x:c>
      <x:c r="D180" s="54" t="str">
        <x:v>兴海南路-梅堰</x:v>
      </x:c>
      <x:c r="E180" s="88" t="n">
        <x:v>9</x:v>
      </x:c>
      <x:c r="F180" s="88" t="n">
        <x:v>516</x:v>
      </x:c>
      <x:c r="G180" s="54" t="str">
        <x:v>2024-07-02 10:39:35</x:v>
      </x:c>
      <x:c r="H180" s="54" t="str">
        <x:v>2024-07-02 10:40:57</x:v>
      </x:c>
      <x:c r="I180" s="54" t="str">
        <x:v>traceability-cache</x:v>
      </x:c>
      <x:c r="J180" s="54" t="str">
        <x:v>cache</x:v>
      </x:c>
      <x:c r="K180" s="88" t="n">
        <x:v>1637</x:v>
      </x:c>
      <x:c r="L180" s="60" t="n">
        <x:v>81.8</x:v>
      </x:c>
      <x:c r="M180" s="60" t="n">
        <x:v>0.8340770833333336</x:v>
      </x:c>
      <x:c r="N180" s="60" t="n">
        <x:v>215.24</x:v>
      </x:c>
      <x:c r="O180" s="60" t="n">
        <x:v>13.19903853484028</x:v>
      </x:c>
      <x:c r="P180" s="60" t="n">
        <x:v>13.270338195173244</x:v>
      </x:c>
      <x:c r="Q180" s="60" t="n">
        <x:v>0.0712996603329666</x:v>
      </x:c>
      <x:c r="R180" s="63" t="n">
        <x:v>0.5401882882966323</x:v>
      </x:c>
    </x:row>
    <x:row r="181" ht="15.75" customHeight="1">
      <x:c r="A181" s="70" t="n">
        <x:v>10</x:v>
      </x:c>
      <x:c r="B181" s="54" t="str">
        <x:v>UP010_20240702_094840_R494</x:v>
      </x:c>
      <x:c r="C181" s="88" t="n">
        <x:v>24</x:v>
      </x:c>
      <x:c r="D181" s="54" t="str">
        <x:v>梅堰-永茂路</x:v>
      </x:c>
      <x:c r="E181" s="88" t="n">
        <x:v>6</x:v>
      </x:c>
      <x:c r="F181" s="88" t="n">
        <x:v>517</x:v>
      </x:c>
      <x:c r="G181" s="54" t="str">
        <x:v>2024-07-02 10:41:32</x:v>
      </x:c>
      <x:c r="H181" s="54" t="str">
        <x:v>2024-07-02 10:47:01</x:v>
      </x:c>
      <x:c r="I181" s="54" t="str">
        <x:v>traceability-cache</x:v>
      </x:c>
      <x:c r="J181" s="54" t="str">
        <x:v>cache</x:v>
      </x:c>
      <x:c r="K181" s="88" t="n">
        <x:v>6590</x:v>
      </x:c>
      <x:c r="L181" s="60" t="n">
        <x:v>329.45</x:v>
      </x:c>
      <x:c r="M181" s="60" t="n">
        <x:v>3.676424722222216</x:v>
      </x:c>
      <x:c r="N181" s="60" t="n">
        <x:v>215.34</x:v>
      </x:c>
      <x:c r="O181" s="60" t="n">
        <x:v>25.76190753693056</x:v>
      </x:c>
      <x:c r="P181" s="60" t="n">
        <x:v>25.34629886516421</x:v>
      </x:c>
      <x:c r="Q181" s="60" t="n">
        <x:v>-0.4156086717663456</x:v>
      </x:c>
      <x:c r="R181" s="63" t="n">
        <x:v>-1.6132682378840024</x:v>
      </x:c>
    </x:row>
    <x:row r="182" ht="15.75" customHeight="1">
      <x:c r="A182" s="70" t="n">
        <x:v>10</x:v>
      </x:c>
      <x:c r="B182" s="54" t="str">
        <x:v>UP010_20240702_094840_R494</x:v>
      </x:c>
      <x:c r="C182" s="88" t="n">
        <x:v>25</x:v>
      </x:c>
      <x:c r="D182" s="54" t="str">
        <x:v>永茂路-镇海大道</x:v>
      </x:c>
      <x:c r="E182" s="88" t="n">
        <x:v>9</x:v>
      </x:c>
      <x:c r="F182" s="88" t="n">
        <x:v>518</x:v>
      </x:c>
      <x:c r="G182" s="54" t="str">
        <x:v>2024-07-02 10:47:28</x:v>
      </x:c>
      <x:c r="H182" s="54" t="str">
        <x:v>2024-07-02 10:49:50</x:v>
      </x:c>
      <x:c r="I182" s="54" t="str">
        <x:v>traceability-cache</x:v>
      </x:c>
      <x:c r="J182" s="54" t="str">
        <x:v>cache</x:v>
      </x:c>
      <x:c r="K182" s="88" t="n">
        <x:v>2836</x:v>
      </x:c>
      <x:c r="L182" s="60" t="n">
        <x:v>141.75</x:v>
      </x:c>
      <x:c r="M182" s="60" t="n">
        <x:v>2.133605138888894</x:v>
      </x:c>
      <x:c r="N182" s="60" t="n">
        <x:v>215.34</x:v>
      </x:c>
      <x:c r="O182" s="60" t="n">
        <x:v>17.8062533659375</x:v>
      </x:c>
      <x:c r="P182" s="60" t="n">
        <x:v>17.412211656336797</x:v>
      </x:c>
      <x:c r="Q182" s="60" t="n">
        <x:v>-0.394041709600704</x:v>
      </x:c>
      <x:c r="R182" s="63" t="n">
        <x:v>-2.212940035743211</x:v>
      </x:c>
    </x:row>
    <x:row r="183" ht="15.75" customHeight="1">
      <x:c r="A183" s="70" t="n">
        <x:v>10</x:v>
      </x:c>
      <x:c r="B183" s="54" t="str">
        <x:v>UP010_20240702_094840_R494</x:v>
      </x:c>
      <x:c r="C183" s="88" t="n">
        <x:v>26</x:v>
      </x:c>
      <x:c r="D183" s="54" t="str">
        <x:v>镇海大道-骆驼桥</x:v>
      </x:c>
      <x:c r="E183" s="88" t="n">
        <x:v>9</x:v>
      </x:c>
      <x:c r="F183" s="88" t="n">
        <x:v>519</x:v>
      </x:c>
      <x:c r="G183" s="54" t="str">
        <x:v>2024-07-02 10:50:18</x:v>
      </x:c>
      <x:c r="H183" s="54" t="str">
        <x:v>2024-07-02 10:52:14</x:v>
      </x:c>
      <x:c r="I183" s="54" t="str">
        <x:v>traceability-cache</x:v>
      </x:c>
      <x:c r="J183" s="54" t="str">
        <x:v>cache</x:v>
      </x:c>
      <x:c r="K183" s="88" t="n">
        <x:v>2331</x:v>
      </x:c>
      <x:c r="L183" s="60" t="n">
        <x:v>116.5</x:v>
      </x:c>
      <x:c r="M183" s="60" t="n">
        <x:v>1.596666388888888</x:v>
      </x:c>
      <x:c r="N183" s="60" t="n">
        <x:v>215.24</x:v>
      </x:c>
      <x:c r="O183" s="60" t="n">
        <x:v>20.571822572451392</x:v>
      </x:c>
      <x:c r="P183" s="60" t="n">
        <x:v>18.85885486465818</x:v>
      </x:c>
      <x:c r="Q183" s="60" t="n">
        <x:v>-1.7129677077932102</x:v>
      </x:c>
      <x:c r="R183" s="63" t="n">
        <x:v>-8.326766876198507</x:v>
      </x:c>
    </x:row>
    <x:row r="184" ht="15.75" customHeight="1">
      <x:c r="A184" s="70" t="n">
        <x:v>12</x:v>
      </x:c>
      <x:c r="B184" s="54" t="str">
        <x:v>UP012_20240702_141702_R603</x:v>
      </x:c>
      <x:c r="C184" s="88" t="n">
        <x:v>1</x:v>
      </x:c>
      <x:c r="D184" s="54" t="str">
        <x:v>布政-张家潭</x:v>
      </x:c>
      <x:c r="E184" s="88" t="n">
        <x:v>11</x:v>
      </x:c>
      <x:c r="F184" s="88" t="n">
        <x:v>603</x:v>
      </x:c>
      <x:c r="G184" s="54" t="str">
        <x:v>2024-07-02 14:17:02</x:v>
      </x:c>
      <x:c r="H184" s="54" t="str">
        <x:v>2024-07-02 14:18:58</x:v>
      </x:c>
      <x:c r="I184" s="54" t="str">
        <x:v>traceability-cache</x:v>
      </x:c>
      <x:c r="J184" s="54" t="str">
        <x:v>cache</x:v>
      </x:c>
      <x:c r="K184" s="88" t="n">
        <x:v>2327</x:v>
      </x:c>
      <x:c r="L184" s="60" t="n">
        <x:v>116.3</x:v>
      </x:c>
      <x:c r="M184" s="60" t="n">
        <x:v>1.427978333333333</x:v>
      </x:c>
      <x:c r="N184" s="60" t="n">
        <x:v>215.24</x:v>
      </x:c>
      <x:c r="O184" s="60" t="n">
        <x:v>12.741006409708334</x:v>
      </x:c>
      <x:c r="P184" s="60" t="n">
        <x:v>12.714196166839615</x:v>
      </x:c>
      <x:c r="Q184" s="60" t="n">
        <x:v>-0.0268102428687179</x:v>
      </x:c>
      <x:c r="R184" s="63" t="n">
        <x:v>-0.2104248440554054</x:v>
      </x:c>
    </x:row>
    <x:row r="185" ht="15.75" customHeight="1">
      <x:c r="A185" s="70" t="n">
        <x:v>12</x:v>
      </x:c>
      <x:c r="B185" s="54" t="str">
        <x:v>UP012_20240702_141702_R603</x:v>
      </x:c>
      <x:c r="C185" s="88" t="n">
        <x:v>2</x:v>
      </x:c>
      <x:c r="D185" s="54" t="str">
        <x:v>张家潭-同德路</x:v>
      </x:c>
      <x:c r="E185" s="88" t="n">
        <x:v>11</x:v>
      </x:c>
      <x:c r="F185" s="88" t="n">
        <x:v>604</x:v>
      </x:c>
      <x:c r="G185" s="54" t="str">
        <x:v>2024-07-02 14:19:27</x:v>
      </x:c>
      <x:c r="H185" s="54" t="str">
        <x:v>2024-07-02 14:21:59</x:v>
      </x:c>
      <x:c r="I185" s="54" t="str">
        <x:v>traceability-cache</x:v>
      </x:c>
      <x:c r="J185" s="54" t="str">
        <x:v>cache</x:v>
      </x:c>
      <x:c r="K185" s="88" t="n">
        <x:v>3031</x:v>
      </x:c>
      <x:c r="L185" s="60" t="n">
        <x:v>151.5</x:v>
      </x:c>
      <x:c r="M185" s="60" t="n">
        <x:v>2.022117222222225</x:v>
      </x:c>
      <x:c r="N185" s="60" t="n">
        <x:v>215.24</x:v>
      </x:c>
      <x:c r="O185" s="60" t="n">
        <x:v>17.587783743173613</x:v>
      </x:c>
      <x:c r="P185" s="60" t="n">
        <x:v>16.893080622627505</x:v>
      </x:c>
      <x:c r="Q185" s="60" t="n">
        <x:v>-0.6947031205461062</x:v>
      </x:c>
      <x:c r="R185" s="63" t="n">
        <x:v>-3.949918481433131</x:v>
      </x:c>
    </x:row>
    <x:row r="186" ht="15.75" customHeight="1">
      <x:c r="A186" s="70" t="n">
        <x:v>12</x:v>
      </x:c>
      <x:c r="B186" s="54" t="str">
        <x:v>UP012_20240702_141702_R603</x:v>
      </x:c>
      <x:c r="C186" s="88" t="n">
        <x:v>3</x:v>
      </x:c>
      <x:c r="D186" s="54" t="str">
        <x:v>同德路-石碶</x:v>
      </x:c>
      <x:c r="E186" s="88" t="n">
        <x:v>11</x:v>
      </x:c>
      <x:c r="F186" s="88" t="n">
        <x:v>605</x:v>
      </x:c>
      <x:c r="G186" s="54" t="str">
        <x:v>2024-07-02 14:22:28</x:v>
      </x:c>
      <x:c r="H186" s="54" t="str">
        <x:v>2024-07-02 14:24:18</x:v>
      </x:c>
      <x:c r="I186" s="54" t="str">
        <x:v>traceability-cache</x:v>
      </x:c>
      <x:c r="J186" s="54" t="str">
        <x:v>cache</x:v>
      </x:c>
      <x:c r="K186" s="88" t="n">
        <x:v>2220</x:v>
      </x:c>
      <x:c r="L186" s="60" t="n">
        <x:v>110.95</x:v>
      </x:c>
      <x:c r="M186" s="60" t="n">
        <x:v>1.330442638888892</x:v>
      </x:c>
      <x:c r="N186" s="60" t="n">
        <x:v>215.24</x:v>
      </x:c>
      <x:c r="O186" s="60" t="n">
        <x:v>11.9599236949375</x:v>
      </x:c>
      <x:c r="P186" s="60" t="n">
        <x:v>11.57226820863809</x:v>
      </x:c>
      <x:c r="Q186" s="60" t="n">
        <x:v>-0.3876554862994107</x:v>
      </x:c>
      <x:c r="R186" s="63" t="n">
        <x:v>-3.2412872873386385</x:v>
      </x:c>
    </x:row>
    <x:row r="187" ht="15.75" customHeight="1">
      <x:c r="A187" s="70" t="n">
        <x:v>12</x:v>
      </x:c>
      <x:c r="B187" s="54" t="str">
        <x:v>UP012_20240702_141702_R603</x:v>
      </x:c>
      <x:c r="C187" s="88" t="n">
        <x:v>4</x:v>
      </x:c>
      <x:c r="D187" s="54" t="str">
        <x:v>石碶-雅渡</x:v>
      </x:c>
      <x:c r="E187" s="88" t="n">
        <x:v>11</x:v>
      </x:c>
      <x:c r="F187" s="88" t="n">
        <x:v>606</x:v>
      </x:c>
      <x:c r="G187" s="54" t="str">
        <x:v>2024-07-02 14:24:53</x:v>
      </x:c>
      <x:c r="H187" s="54" t="str">
        <x:v>2024-07-02 14:26:15</x:v>
      </x:c>
      <x:c r="I187" s="54" t="str">
        <x:v>traceability-cache</x:v>
      </x:c>
      <x:c r="J187" s="54" t="str">
        <x:v>cache</x:v>
      </x:c>
      <x:c r="K187" s="88" t="n">
        <x:v>1626</x:v>
      </x:c>
      <x:c r="L187" s="60" t="n">
        <x:v>81.25</x:v>
      </x:c>
      <x:c r="M187" s="60" t="n">
        <x:v>0.8269587500000016</x:v>
      </x:c>
      <x:c r="N187" s="60" t="n">
        <x:v>215.34</x:v>
      </x:c>
      <x:c r="O187" s="60" t="n">
        <x:v>11.84174399340278</x:v>
      </x:c>
      <x:c r="P187" s="60" t="n">
        <x:v>12.624356049234995</x:v>
      </x:c>
      <x:c r="Q187" s="60" t="n">
        <x:v>0.7826120558322182</x:v>
      </x:c>
      <x:c r="R187" s="63" t="n">
        <x:v>6.608925647001182</x:v>
      </x:c>
    </x:row>
    <x:row r="188" ht="15.75" customHeight="1">
      <x:c r="A188" s="70" t="n">
        <x:v>12</x:v>
      </x:c>
      <x:c r="B188" s="54" t="str">
        <x:v>UP012_20240702_141702_R603</x:v>
      </x:c>
      <x:c r="C188" s="88" t="n">
        <x:v>5</x:v>
      </x:c>
      <x:c r="D188" s="54" t="str">
        <x:v>雅渡-庙堰</x:v>
      </x:c>
      <x:c r="E188" s="88" t="n">
        <x:v>11</x:v>
      </x:c>
      <x:c r="F188" s="88" t="n">
        <x:v>607</x:v>
      </x:c>
      <x:c r="G188" s="54" t="str">
        <x:v>2024-07-02 14:26:45</x:v>
      </x:c>
      <x:c r="H188" s="54" t="str">
        <x:v>2024-07-02 14:28:57</x:v>
      </x:c>
      <x:c r="I188" s="54" t="str">
        <x:v>traceability-cache</x:v>
      </x:c>
      <x:c r="J188" s="54" t="str">
        <x:v>cache</x:v>
      </x:c>
      <x:c r="K188" s="88" t="n">
        <x:v>2656</x:v>
      </x:c>
      <x:c r="L188" s="60" t="n">
        <x:v>132.75</x:v>
      </x:c>
      <x:c r="M188" s="60" t="n">
        <x:v>1.861769027777785</x:v>
      </x:c>
      <x:c r="N188" s="60" t="n">
        <x:v>215.54</x:v>
      </x:c>
      <x:c r="O188" s="60" t="n">
        <x:v>20.25403367188889</x:v>
      </x:c>
      <x:c r="P188" s="60" t="n">
        <x:v>19.85381391862776</x:v>
      </x:c>
      <x:c r="Q188" s="60" t="n">
        <x:v>-0.4002197532611317</x:v>
      </x:c>
      <x:c r="R188" s="63" t="n">
        <x:v>-1.9760002365188485</x:v>
      </x:c>
    </x:row>
    <x:row r="189" ht="15.75" customHeight="1">
      <x:c r="A189" s="70" t="n">
        <x:v>12</x:v>
      </x:c>
      <x:c r="B189" s="54" t="str">
        <x:v>UP012_20240702_141702_R603</x:v>
      </x:c>
      <x:c r="C189" s="88" t="n">
        <x:v>6</x:v>
      </x:c>
      <x:c r="D189" s="54" t="str">
        <x:v>庙堰-钟公庙</x:v>
      </x:c>
      <x:c r="E189" s="88" t="n">
        <x:v>11</x:v>
      </x:c>
      <x:c r="F189" s="88" t="n">
        <x:v>608</x:v>
      </x:c>
      <x:c r="G189" s="54" t="str">
        <x:v>2024-07-02 14:29:26</x:v>
      </x:c>
      <x:c r="H189" s="54" t="str">
        <x:v>2024-07-02 14:31:03</x:v>
      </x:c>
      <x:c r="I189" s="54" t="str">
        <x:v>traceability-cache</x:v>
      </x:c>
      <x:c r="J189" s="54" t="str">
        <x:v>cache</x:v>
      </x:c>
      <x:c r="K189" s="88" t="n">
        <x:v>1935</x:v>
      </x:c>
      <x:c r="L189" s="60" t="n">
        <x:v>96.7</x:v>
      </x:c>
      <x:c r="M189" s="60" t="n">
        <x:v>1.087273055555554</x:v>
      </x:c>
      <x:c r="N189" s="60" t="n">
        <x:v>215.54</x:v>
      </x:c>
      <x:c r="O189" s="60" t="n">
        <x:v>13.4898288229375</x:v>
      </x:c>
      <x:c r="P189" s="60" t="n">
        <x:v>13.760445436641904</x:v>
      </x:c>
      <x:c r="Q189" s="60" t="n">
        <x:v>0.270616613704402</x:v>
      </x:c>
      <x:c r="R189" s="63" t="n">
        <x:v>2.006078929958381</x:v>
      </x:c>
    </x:row>
    <x:row r="190" ht="15.75" customHeight="1">
      <x:c r="A190" s="70" t="n">
        <x:v>12</x:v>
      </x:c>
      <x:c r="B190" s="54" t="str">
        <x:v>UP012_20240702_141702_R603</x:v>
      </x:c>
      <x:c r="C190" s="88" t="n">
        <x:v>7</x:v>
      </x:c>
      <x:c r="D190" s="54" t="str">
        <x:v>钟公庙-鄞州区政府</x:v>
      </x:c>
      <x:c r="E190" s="88" t="n">
        <x:v>11</x:v>
      </x:c>
      <x:c r="F190" s="88" t="n">
        <x:v>609</x:v>
      </x:c>
      <x:c r="G190" s="54" t="str">
        <x:v>2024-07-02 14:31:33</x:v>
      </x:c>
      <x:c r="H190" s="54" t="str">
        <x:v>2024-07-02 14:33:04</x:v>
      </x:c>
      <x:c r="I190" s="54" t="str">
        <x:v>traceability-cache</x:v>
      </x:c>
      <x:c r="J190" s="54" t="str">
        <x:v>cache</x:v>
      </x:c>
      <x:c r="K190" s="88" t="n">
        <x:v>1814</x:v>
      </x:c>
      <x:c r="L190" s="60" t="n">
        <x:v>90.65</x:v>
      </x:c>
      <x:c r="M190" s="60" t="n">
        <x:v>0.9846849999999993</x:v>
      </x:c>
      <x:c r="N190" s="60" t="n">
        <x:v>215.54</x:v>
      </x:c>
      <x:c r="O190" s="60" t="n">
        <x:v>10.015274168243057</x:v>
      </x:c>
      <x:c r="P190" s="60" t="n">
        <x:v>10.78617646142459</x:v>
      </x:c>
      <x:c r="Q190" s="60" t="n">
        <x:v>0.7709022931815344</x:v>
      </x:c>
      <x:c r="R190" s="63" t="n">
        <x:v>7.697265998228494</x:v>
      </x:c>
    </x:row>
    <x:row r="191" ht="15.75" customHeight="1">
      <x:c r="A191" s="70" t="n">
        <x:v>12</x:v>
      </x:c>
      <x:c r="B191" s="54" t="str">
        <x:v>UP012_20240702_141702_R603</x:v>
      </x:c>
      <x:c r="C191" s="88" t="n">
        <x:v>8</x:v>
      </x:c>
      <x:c r="D191" s="54" t="str">
        <x:v>鄞州区政府-钱湖南路</x:v>
      </x:c>
      <x:c r="E191" s="88" t="n">
        <x:v>11</x:v>
      </x:c>
      <x:c r="F191" s="88" t="n">
        <x:v>610</x:v>
      </x:c>
      <x:c r="G191" s="54" t="str">
        <x:v>2024-07-02 14:33:43</x:v>
      </x:c>
      <x:c r="H191" s="54" t="str">
        <x:v>2024-07-02 14:35:55</x:v>
      </x:c>
      <x:c r="I191" s="54" t="str">
        <x:v>traceability-cache</x:v>
      </x:c>
      <x:c r="J191" s="54" t="str">
        <x:v>cache</x:v>
      </x:c>
      <x:c r="K191" s="88" t="n">
        <x:v>2634</x:v>
      </x:c>
      <x:c r="L191" s="60" t="n">
        <x:v>131.65</x:v>
      </x:c>
      <x:c r="M191" s="60" t="n">
        <x:v>1.81316347222222</x:v>
      </x:c>
      <x:c r="N191" s="60" t="n">
        <x:v>215.64</x:v>
      </x:c>
      <x:c r="O191" s="60" t="n">
        <x:v>16.31998102188889</x:v>
      </x:c>
      <x:c r="P191" s="60" t="n">
        <x:v>15.10194895594221</x:v>
      </x:c>
      <x:c r="Q191" s="60" t="n">
        <x:v>-1.218032065946678</x:v>
      </x:c>
      <x:c r="R191" s="63" t="n">
        <x:v>-7.4634404556783105</x:v>
      </x:c>
    </x:row>
    <x:row r="192" ht="15.75" customHeight="1">
      <x:c r="A192" s="70" t="n">
        <x:v>12</x:v>
      </x:c>
      <x:c r="B192" s="54" t="str">
        <x:v>UP012_20240702_141702_R603</x:v>
      </x:c>
      <x:c r="C192" s="88" t="n">
        <x:v>9</x:v>
      </x:c>
      <x:c r="D192" s="54" t="str">
        <x:v>钱湖南路-南高教园区</x:v>
      </x:c>
      <x:c r="E192" s="88" t="n">
        <x:v>11</x:v>
      </x:c>
      <x:c r="F192" s="88" t="n">
        <x:v>611</x:v>
      </x:c>
      <x:c r="G192" s="54" t="str">
        <x:v>2024-07-02 14:36:25</x:v>
      </x:c>
      <x:c r="H192" s="54" t="str">
        <x:v>2024-07-02 14:38:05</x:v>
      </x:c>
      <x:c r="I192" s="54" t="str">
        <x:v>traceability-cache</x:v>
      </x:c>
      <x:c r="J192" s="54" t="str">
        <x:v>cache</x:v>
      </x:c>
      <x:c r="K192" s="88" t="n">
        <x:v>2000</x:v>
      </x:c>
      <x:c r="L192" s="60" t="n">
        <x:v>99.95</x:v>
      </x:c>
      <x:c r="M192" s="60" t="n">
        <x:v>1.168859583333335</x:v>
      </x:c>
      <x:c r="N192" s="60" t="n">
        <x:v>215.54</x:v>
      </x:c>
      <x:c r="O192" s="60" t="n">
        <x:v>13.76564112940278</x:v>
      </x:c>
      <x:c r="P192" s="60" t="n">
        <x:v>13.81431642520584</x:v>
      </x:c>
      <x:c r="Q192" s="60" t="n">
        <x:v>0.0486752958030592</x:v>
      </x:c>
      <x:c r="R192" s="63" t="n">
        <x:v>0.3535999184163755</x:v>
      </x:c>
    </x:row>
    <x:row r="193" ht="15.75" customHeight="1">
      <x:c r="A193" s="70" t="n">
        <x:v>12</x:v>
      </x:c>
      <x:c r="B193" s="54" t="str">
        <x:v>UP012_20240702_141702_R603</x:v>
      </x:c>
      <x:c r="C193" s="88" t="n">
        <x:v>10</x:v>
      </x:c>
      <x:c r="D193" s="54" t="str">
        <x:v>南高教园区-下应路</x:v>
      </x:c>
      <x:c r="E193" s="88" t="n">
        <x:v>11</x:v>
      </x:c>
      <x:c r="F193" s="88" t="n">
        <x:v>612</x:v>
      </x:c>
      <x:c r="G193" s="54" t="str">
        <x:v>2024-07-02 14:38:40</x:v>
      </x:c>
      <x:c r="H193" s="54" t="str">
        <x:v>2024-07-02 14:40:34</x:v>
      </x:c>
      <x:c r="I193" s="54" t="str">
        <x:v>traceability-cache</x:v>
      </x:c>
      <x:c r="J193" s="54" t="str">
        <x:v>cache</x:v>
      </x:c>
      <x:c r="K193" s="88" t="n">
        <x:v>2275</x:v>
      </x:c>
      <x:c r="L193" s="60" t="n">
        <x:v>113.7</x:v>
      </x:c>
      <x:c r="M193" s="60" t="n">
        <x:v>1.452115138888886</x:v>
      </x:c>
      <x:c r="N193" s="60" t="n">
        <x:v>215.54</x:v>
      </x:c>
      <x:c r="O193" s="60" t="n">
        <x:v>19.336954773097226</x:v>
      </x:c>
      <x:c r="P193" s="60" t="n">
        <x:v>18.32591379097109</x:v>
      </x:c>
      <x:c r="Q193" s="60" t="n">
        <x:v>-1.0110409821261384</x:v>
      </x:c>
      <x:c r="R193" s="63" t="n">
        <x:v>-5.228542932379206</x:v>
      </x:c>
    </x:row>
    <x:row r="194" ht="15.75" customHeight="1">
      <x:c r="A194" s="70" t="n">
        <x:v>12</x:v>
      </x:c>
      <x:c r="B194" s="54" t="str">
        <x:v>UP012_20240702_141702_R603</x:v>
      </x:c>
      <x:c r="C194" s="88" t="n">
        <x:v>11</x:v>
      </x:c>
      <x:c r="D194" s="54" t="str">
        <x:v>下应路-大洋江</x:v>
      </x:c>
      <x:c r="E194" s="88" t="n">
        <x:v>11</x:v>
      </x:c>
      <x:c r="F194" s="88" t="n">
        <x:v>613</x:v>
      </x:c>
      <x:c r="G194" s="54" t="str">
        <x:v>2024-07-02 14:41:04</x:v>
      </x:c>
      <x:c r="H194" s="54" t="str">
        <x:v>2024-07-02 14:42:49</x:v>
      </x:c>
      <x:c r="I194" s="54" t="str">
        <x:v>traceability-cache</x:v>
      </x:c>
      <x:c r="J194" s="54" t="str">
        <x:v>cache</x:v>
      </x:c>
      <x:c r="K194" s="88" t="n">
        <x:v>2107</x:v>
      </x:c>
      <x:c r="L194" s="60" t="n">
        <x:v>105.3</x:v>
      </x:c>
      <x:c r="M194" s="60" t="n">
        <x:v>1.214954166666671</x:v>
      </x:c>
      <x:c r="N194" s="60" t="n">
        <x:v>215.74</x:v>
      </x:c>
      <x:c r="O194" s="60" t="n">
        <x:v>11.500415851527778</x:v>
      </x:c>
      <x:c r="P194" s="60" t="n">
        <x:v>11.166575212146586</x:v>
      </x:c>
      <x:c r="Q194" s="60" t="n">
        <x:v>-0.3338406393811911</x:v>
      </x:c>
      <x:c r="R194" s="63" t="n">
        <x:v>-2.902857111352559</x:v>
      </x:c>
    </x:row>
    <x:row r="195" ht="15.75" customHeight="1">
      <x:c r="A195" s="70" t="n">
        <x:v>12</x:v>
      </x:c>
      <x:c r="B195" s="54" t="str">
        <x:v>UP012_20240702_141702_R603</x:v>
      </x:c>
      <x:c r="C195" s="88" t="n">
        <x:v>12</x:v>
      </x:c>
      <x:c r="D195" s="54" t="str">
        <x:v>大洋江-泗港</x:v>
      </x:c>
      <x:c r="E195" s="88" t="n">
        <x:v>11</x:v>
      </x:c>
      <x:c r="F195" s="88" t="n">
        <x:v>614</x:v>
      </x:c>
      <x:c r="G195" s="54" t="str">
        <x:v>2024-07-02 14:43:19</x:v>
      </x:c>
      <x:c r="H195" s="54" t="str">
        <x:v>2024-07-02 14:44:51</x:v>
      </x:c>
      <x:c r="I195" s="54" t="str">
        <x:v>traceability-cache</x:v>
      </x:c>
      <x:c r="J195" s="54" t="str">
        <x:v>cache</x:v>
      </x:c>
      <x:c r="K195" s="88" t="n">
        <x:v>1847</x:v>
      </x:c>
      <x:c r="L195" s="60" t="n">
        <x:v>92.3</x:v>
      </x:c>
      <x:c r="M195" s="60" t="n">
        <x:v>0.9581911111111108</x:v>
      </x:c>
      <x:c r="N195" s="60" t="n">
        <x:v>215.54</x:v>
      </x:c>
      <x:c r="O195" s="60" t="n">
        <x:v>10.86224764820139</x:v>
      </x:c>
      <x:c r="P195" s="60" t="n">
        <x:v>10.9423276741909</x:v>
      </x:c>
      <x:c r="Q195" s="60" t="n">
        <x:v>0.0800800259895095</x:v>
      </x:c>
      <x:c r="R195" s="63" t="n">
        <x:v>0.73723255612543</x:v>
      </x:c>
    </x:row>
    <x:row r="196" ht="15.75" customHeight="1">
      <x:c r="A196" s="70" t="n">
        <x:v>12</x:v>
      </x:c>
      <x:c r="B196" s="54" t="str">
        <x:v>UP012_20240702_141702_R603</x:v>
      </x:c>
      <x:c r="C196" s="88" t="n">
        <x:v>13</x:v>
      </x:c>
      <x:c r="D196" s="54" t="str">
        <x:v>泗港-曹隘</x:v>
      </x:c>
      <x:c r="E196" s="88" t="n">
        <x:v>11</x:v>
      </x:c>
      <x:c r="F196" s="88" t="n">
        <x:v>615</x:v>
      </x:c>
      <x:c r="G196" s="54" t="str">
        <x:v>2024-07-02 14:45:20</x:v>
      </x:c>
      <x:c r="H196" s="54" t="str">
        <x:v>2024-07-02 14:47:35</x:v>
      </x:c>
      <x:c r="I196" s="54" t="str">
        <x:v>traceability-cache</x:v>
      </x:c>
      <x:c r="J196" s="54" t="str">
        <x:v>cache</x:v>
      </x:c>
      <x:c r="K196" s="88" t="n">
        <x:v>2695</x:v>
      </x:c>
      <x:c r="L196" s="60" t="n">
        <x:v>134.7</x:v>
      </x:c>
      <x:c r="M196" s="60" t="n">
        <x:v>1.798849722222224</x:v>
      </x:c>
      <x:c r="N196" s="60" t="n">
        <x:v>215.64</x:v>
      </x:c>
      <x:c r="O196" s="60" t="n">
        <x:v>23.679392029319445</x:v>
      </x:c>
      <x:c r="P196" s="60" t="n">
        <x:v>24.038403257212387</x:v>
      </x:c>
      <x:c r="Q196" s="60" t="n">
        <x:v>0.3590112278929409</x:v>
      </x:c>
      <x:c r="R196" s="63" t="n">
        <x:v>1.516133638264103</x:v>
      </x:c>
    </x:row>
    <x:row r="197" ht="15.75" customHeight="1">
      <x:c r="A197" s="70" t="n">
        <x:v>12</x:v>
      </x:c>
      <x:c r="B197" s="54" t="str">
        <x:v>UP012_20240702_141702_R603</x:v>
      </x:c>
      <x:c r="C197" s="88" t="n">
        <x:v>14</x:v>
      </x:c>
      <x:c r="D197" s="54" t="str">
        <x:v>曹隘-柳隘</x:v>
      </x:c>
      <x:c r="E197" s="88" t="n">
        <x:v>11</x:v>
      </x:c>
      <x:c r="F197" s="88" t="n">
        <x:v>616</x:v>
      </x:c>
      <x:c r="G197" s="54" t="str">
        <x:v>2024-07-02 14:48:06</x:v>
      </x:c>
      <x:c r="H197" s="54" t="str">
        <x:v>2024-07-02 14:49:53</x:v>
      </x:c>
      <x:c r="I197" s="54" t="str">
        <x:v>traceability-cache</x:v>
      </x:c>
      <x:c r="J197" s="54" t="str">
        <x:v>cache</x:v>
      </x:c>
      <x:c r="K197" s="88" t="n">
        <x:v>2134</x:v>
      </x:c>
      <x:c r="L197" s="60" t="n">
        <x:v>106.65</x:v>
      </x:c>
      <x:c r="M197" s="60" t="n">
        <x:v>1.308985972222222</x:v>
      </x:c>
      <x:c r="N197" s="60" t="n">
        <x:v>215.44</x:v>
      </x:c>
      <x:c r="O197" s="60" t="n">
        <x:v>20.89321623939583</x:v>
      </x:c>
      <x:c r="P197" s="60" t="n">
        <x:v>21.704718490822465</x:v>
      </x:c>
      <x:c r="Q197" s="60" t="n">
        <x:v>0.8115022514266348</x:v>
      </x:c>
      <x:c r="R197" s="63" t="n">
        <x:v>3.884046583007562</x:v>
      </x:c>
    </x:row>
    <x:row r="198" ht="15.75" customHeight="1">
      <x:c r="A198" s="70" t="n">
        <x:v>12</x:v>
      </x:c>
      <x:c r="B198" s="54" t="str">
        <x:v>UP012_20240702_141702_R603</x:v>
      </x:c>
      <x:c r="C198" s="88" t="n">
        <x:v>15</x:v>
      </x:c>
      <x:c r="D198" s="54" t="str">
        <x:v>柳隘-海晏北路</x:v>
      </x:c>
      <x:c r="E198" s="88" t="n">
        <x:v>11</x:v>
      </x:c>
      <x:c r="F198" s="88" t="n">
        <x:v>617</x:v>
      </x:c>
      <x:c r="G198" s="54" t="str">
        <x:v>2024-07-02 14:50:22</x:v>
      </x:c>
      <x:c r="H198" s="54" t="str">
        <x:v>2024-07-02 14:51:53</x:v>
      </x:c>
      <x:c r="I198" s="54" t="str">
        <x:v>traceability-cache</x:v>
      </x:c>
      <x:c r="J198" s="54" t="str">
        <x:v>cache</x:v>
      </x:c>
      <x:c r="K198" s="88" t="n">
        <x:v>1807</x:v>
      </x:c>
      <x:c r="L198" s="60" t="n">
        <x:v>90.3</x:v>
      </x:c>
      <x:c r="M198" s="60" t="n">
        <x:v>0.981208055555556</x:v>
      </x:c>
      <x:c r="N198" s="60" t="n">
        <x:v>215.34</x:v>
      </x:c>
      <x:c r="O198" s="60" t="n">
        <x:v>14.56707159011111</x:v>
      </x:c>
      <x:c r="P198" s="60" t="n">
        <x:v>14.576027954688696</x:v>
      </x:c>
      <x:c r="Q198" s="60" t="n">
        <x:v>0.0089563645775851</x:v>
      </x:c>
      <x:c r="R198" s="63" t="n">
        <x:v>0.0614836312307632</x:v>
      </x:c>
    </x:row>
    <x:row r="199" ht="15.75" customHeight="1">
      <x:c r="A199" s="70" t="n">
        <x:v>12</x:v>
      </x:c>
      <x:c r="B199" s="54" t="str">
        <x:v>UP012_20240702_141702_R603</x:v>
      </x:c>
      <x:c r="C199" s="88" t="n">
        <x:v>16</x:v>
      </x:c>
      <x:c r="D199" s="54" t="str">
        <x:v>海晏北路-民安东路</x:v>
      </x:c>
      <x:c r="E199" s="88" t="n">
        <x:v>11</x:v>
      </x:c>
      <x:c r="F199" s="88" t="n">
        <x:v>618</x:v>
      </x:c>
      <x:c r="G199" s="54" t="str">
        <x:v>2024-07-02 14:52:37</x:v>
      </x:c>
      <x:c r="H199" s="54" t="str">
        <x:v>2024-07-02 14:54:01</x:v>
      </x:c>
      <x:c r="I199" s="54" t="str">
        <x:v>traceability-cache</x:v>
      </x:c>
      <x:c r="J199" s="54" t="str">
        <x:v>cache</x:v>
      </x:c>
      <x:c r="K199" s="88" t="n">
        <x:v>1677</x:v>
      </x:c>
      <x:c r="L199" s="60" t="n">
        <x:v>83.8</x:v>
      </x:c>
      <x:c r="M199" s="60" t="n">
        <x:v>0.8658069444444448</x:v>
      </x:c>
      <x:c r="N199" s="60" t="n">
        <x:v>216.72</x:v>
      </x:c>
      <x:c r="O199" s="60" t="n">
        <x:v>15.742859422798611</x:v>
      </x:c>
      <x:c r="P199" s="60" t="n">
        <x:v>16.104659595113333</x:v>
      </x:c>
      <x:c r="Q199" s="60" t="n">
        <x:v>0.361800172314719</x:v>
      </x:c>
      <x:c r="R199" s="63" t="n">
        <x:v>2.298185879693269</x:v>
      </x:c>
    </x:row>
    <x:row r="200" ht="15.75" customHeight="1">
      <x:c r="A200" s="70" t="n">
        <x:v>12</x:v>
      </x:c>
      <x:c r="B200" s="54" t="str">
        <x:v>UP012_20240702_141702_R603</x:v>
      </x:c>
      <x:c r="C200" s="88" t="n">
        <x:v>17</x:v>
      </x:c>
      <x:c r="D200" s="54" t="str">
        <x:v>民安东路-会展中心</x:v>
      </x:c>
      <x:c r="E200" s="88" t="n">
        <x:v>11</x:v>
      </x:c>
      <x:c r="F200" s="88" t="n">
        <x:v>619</x:v>
      </x:c>
      <x:c r="G200" s="54" t="str">
        <x:v>2024-07-02 14:54:31</x:v>
      </x:c>
      <x:c r="H200" s="54" t="str">
        <x:v>2024-07-02 14:55:48</x:v>
      </x:c>
      <x:c r="I200" s="54" t="str">
        <x:v>traceability-cache</x:v>
      </x:c>
      <x:c r="J200" s="54" t="str">
        <x:v>cache</x:v>
      </x:c>
      <x:c r="K200" s="88" t="n">
        <x:v>1534</x:v>
      </x:c>
      <x:c r="L200" s="60" t="n">
        <x:v>76.65</x:v>
      </x:c>
      <x:c r="M200" s="60" t="n">
        <x:v>0.7259416666666657</x:v>
      </x:c>
      <x:c r="N200" s="60" t="n">
        <x:v>216.52</x:v>
      </x:c>
      <x:c r="O200" s="60" t="n">
        <x:v>12.947319495534725</x:v>
      </x:c>
      <x:c r="P200" s="60" t="n">
        <x:v>13.307366175471984</x:v>
      </x:c>
      <x:c r="Q200" s="60" t="n">
        <x:v>0.3600466799372607</x:v>
      </x:c>
      <x:c r="R200" s="63" t="n">
        <x:v>2.780858849288718</x:v>
      </x:c>
    </x:row>
    <x:row r="201" ht="15.75" customHeight="1">
      <x:c r="A201" s="70" t="n">
        <x:v>12</x:v>
      </x:c>
      <x:c r="B201" s="54" t="str">
        <x:v>UP012_20240702_141702_R603</x:v>
      </x:c>
      <x:c r="C201" s="88" t="n">
        <x:v>18</x:v>
      </x:c>
      <x:c r="D201" s="54" t="str">
        <x:v>会展中心-院士路</x:v>
      </x:c>
      <x:c r="E201" s="88" t="n">
        <x:v>11</x:v>
      </x:c>
      <x:c r="F201" s="88" t="n">
        <x:v>620</x:v>
      </x:c>
      <x:c r="G201" s="54" t="str">
        <x:v>2024-07-02 14:56:18</x:v>
      </x:c>
      <x:c r="H201" s="54" t="str">
        <x:v>2024-07-02 14:58:13</x:v>
      </x:c>
      <x:c r="I201" s="54" t="str">
        <x:v>traceability-cache</x:v>
      </x:c>
      <x:c r="J201" s="54" t="str">
        <x:v>cache</x:v>
      </x:c>
      <x:c r="K201" s="88" t="n">
        <x:v>2288</x:v>
      </x:c>
      <x:c r="L201" s="60" t="n">
        <x:v>114.35</x:v>
      </x:c>
      <x:c r="M201" s="60" t="n">
        <x:v>1.551420972222231</x:v>
      </x:c>
      <x:c r="N201" s="60" t="n">
        <x:v>216.32</x:v>
      </x:c>
      <x:c r="O201" s="60" t="n">
        <x:v>14.921660502173614</x:v>
      </x:c>
      <x:c r="P201" s="60" t="n">
        <x:v>15.090259676743765</x:v>
      </x:c>
      <x:c r="Q201" s="60" t="n">
        <x:v>0.1685991745701503</x:v>
      </x:c>
      <x:c r="R201" s="63" t="n">
        <x:v>1.1298955270131683</x:v>
      </x:c>
    </x:row>
    <x:row r="202" ht="15.75" customHeight="1">
      <x:c r="A202" s="70" t="n">
        <x:v>12</x:v>
      </x:c>
      <x:c r="B202" s="54" t="str">
        <x:v>UP012_20240702_141702_R603</x:v>
      </x:c>
      <x:c r="C202" s="88" t="n">
        <x:v>19</x:v>
      </x:c>
      <x:c r="D202" s="54" t="str">
        <x:v>院士路-盎孟港</x:v>
      </x:c>
      <x:c r="E202" s="88" t="n">
        <x:v>11</x:v>
      </x:c>
      <x:c r="F202" s="88" t="n">
        <x:v>621</x:v>
      </x:c>
      <x:c r="G202" s="54" t="str">
        <x:v>2024-07-02 14:58:42</x:v>
      </x:c>
      <x:c r="H202" s="54" t="str">
        <x:v>2024-07-02 15:00:13</x:v>
      </x:c>
      <x:c r="I202" s="54" t="str">
        <x:v>traceability-cache</x:v>
      </x:c>
      <x:c r="J202" s="54" t="str">
        <x:v>cache</x:v>
      </x:c>
      <x:c r="K202" s="88" t="n">
        <x:v>1815</x:v>
      </x:c>
      <x:c r="L202" s="60" t="n">
        <x:v>90.7</x:v>
      </x:c>
      <x:c r="M202" s="60" t="n">
        <x:v>0.9948429166666674</x:v>
      </x:c>
      <x:c r="N202" s="60" t="n">
        <x:v>216.44</x:v>
      </x:c>
      <x:c r="O202" s="60" t="n">
        <x:v>19.839463445847223</x:v>
      </x:c>
      <x:c r="P202" s="60" t="n">
        <x:v>19.92819125673533</x:v>
      </x:c>
      <x:c r="Q202" s="60" t="n">
        <x:v>0.0887278108881109</x:v>
      </x:c>
      <x:c r="R202" s="63" t="n">
        <x:v>0.4472288836353756</x:v>
      </x:c>
    </x:row>
    <x:row r="203" ht="15.75" customHeight="1">
      <x:c r="A203" s="70" t="n">
        <x:v>12</x:v>
      </x:c>
      <x:c r="B203" s="54" t="str">
        <x:v>UP012_20240702_141702_R603</x:v>
      </x:c>
      <x:c r="C203" s="88" t="n">
        <x:v>20</x:v>
      </x:c>
      <x:c r="D203" s="54" t="str">
        <x:v>盎孟港-三官堂</x:v>
      </x:c>
      <x:c r="E203" s="88" t="n">
        <x:v>11</x:v>
      </x:c>
      <x:c r="F203" s="88" t="n">
        <x:v>622</x:v>
      </x:c>
      <x:c r="G203" s="54" t="str">
        <x:v>2024-07-02 15:00:43</x:v>
      </x:c>
      <x:c r="H203" s="54" t="str">
        <x:v>2024-07-02 15:03:00</x:v>
      </x:c>
      <x:c r="I203" s="54" t="str">
        <x:v>traceability-cache</x:v>
      </x:c>
      <x:c r="J203" s="54" t="str">
        <x:v>cache</x:v>
      </x:c>
      <x:c r="K203" s="88" t="n">
        <x:v>2751</x:v>
      </x:c>
      <x:c r="L203" s="60" t="n">
        <x:v>137.5</x:v>
      </x:c>
      <x:c r="M203" s="60" t="n">
        <x:v>1.878463333333334</x:v>
      </x:c>
      <x:c r="N203" s="60" t="n">
        <x:v>216.44</x:v>
      </x:c>
      <x:c r="O203" s="60" t="n">
        <x:v>16.559614065493054</x:v>
      </x:c>
      <x:c r="P203" s="60" t="n">
        <x:v>15.51995675562622</x:v>
      </x:c>
      <x:c r="Q203" s="60" t="n">
        <x:v>-1.039657309866834</x:v>
      </x:c>
      <x:c r="R203" s="63" t="n">
        <x:v>-6.278270168344524</x:v>
      </x:c>
    </x:row>
    <x:row r="204" ht="15.75" customHeight="1">
      <x:c r="A204" s="70" t="n">
        <x:v>12</x:v>
      </x:c>
      <x:c r="B204" s="54" t="str">
        <x:v>UP012_20240702_141702_R603</x:v>
      </x:c>
      <x:c r="C204" s="88" t="n">
        <x:v>21</x:v>
      </x:c>
      <x:c r="D204" s="54" t="str">
        <x:v>三官堂-兴庄路</x:v>
      </x:c>
      <x:c r="E204" s="88" t="n">
        <x:v>11</x:v>
      </x:c>
      <x:c r="F204" s="88" t="n">
        <x:v>623</x:v>
      </x:c>
      <x:c r="G204" s="54" t="str">
        <x:v>2024-07-02 15:03:35</x:v>
      </x:c>
      <x:c r="H204" s="54" t="str">
        <x:v>2024-07-02 15:05:19</x:v>
      </x:c>
      <x:c r="I204" s="54" t="str">
        <x:v>traceability-cache</x:v>
      </x:c>
      <x:c r="J204" s="54" t="str">
        <x:v>cache</x:v>
      </x:c>
      <x:c r="K204" s="88" t="n">
        <x:v>2082</x:v>
      </x:c>
      <x:c r="L204" s="60" t="n">
        <x:v>104.05</x:v>
      </x:c>
      <x:c r="M204" s="60" t="n">
        <x:v>1.079830000000001</x:v>
      </x:c>
      <x:c r="N204" s="60" t="n">
        <x:v>216.14</x:v>
      </x:c>
      <x:c r="O204" s="60" t="n">
        <x:v>10.432472098868054</x:v>
      </x:c>
      <x:c r="P204" s="60" t="n">
        <x:v>10.407472382089436</x:v>
      </x:c>
      <x:c r="Q204" s="60" t="n">
        <x:v>-0.0249997167786186</x:v>
      </x:c>
      <x:c r="R204" s="63" t="n">
        <x:v>-0.2396336797424188</x:v>
      </x:c>
    </x:row>
    <x:row r="205" ht="15.75" customHeight="1">
      <x:c r="A205" s="70" t="n">
        <x:v>12</x:v>
      </x:c>
      <x:c r="B205" s="54" t="str">
        <x:v>UP012_20240702_141702_R603</x:v>
      </x:c>
      <x:c r="C205" s="88" t="n">
        <x:v>22</x:v>
      </x:c>
      <x:c r="D205" s="54" t="str">
        <x:v>兴庄路-兴海南路</x:v>
      </x:c>
      <x:c r="E205" s="88" t="n">
        <x:v>11</x:v>
      </x:c>
      <x:c r="F205" s="88" t="n">
        <x:v>624</x:v>
      </x:c>
      <x:c r="G205" s="54" t="str">
        <x:v>2024-07-02 15:05:50</x:v>
      </x:c>
      <x:c r="H205" s="54" t="str">
        <x:v>2024-07-02 15:07:21</x:v>
      </x:c>
      <x:c r="I205" s="54" t="str">
        <x:v>traceability-cache</x:v>
      </x:c>
      <x:c r="J205" s="54" t="str">
        <x:v>cache</x:v>
      </x:c>
      <x:c r="K205" s="88" t="n">
        <x:v>1829</x:v>
      </x:c>
      <x:c r="L205" s="60" t="n">
        <x:v>91.4</x:v>
      </x:c>
      <x:c r="M205" s="60" t="n">
        <x:v>0.9588587500000002</x:v>
      </x:c>
      <x:c r="N205" s="60" t="n">
        <x:v>215.54</x:v>
      </x:c>
      <x:c r="O205" s="60" t="n">
        <x:v>12.23806045686111</x:v>
      </x:c>
      <x:c r="P205" s="60" t="n">
        <x:v>12.119688987030942</x:v>
      </x:c>
      <x:c r="Q205" s="60" t="n">
        <x:v>-0.1183714698301682</x:v>
      </x:c>
      <x:c r="R205" s="63" t="n">
        <x:v>-0.9672404401614544</x:v>
      </x:c>
    </x:row>
    <x:row r="206" ht="15.75" customHeight="1">
      <x:c r="A206" s="70" t="n">
        <x:v>12</x:v>
      </x:c>
      <x:c r="B206" s="54" t="str">
        <x:v>UP012_20240702_141702_R603</x:v>
      </x:c>
      <x:c r="C206" s="88" t="n">
        <x:v>23</x:v>
      </x:c>
      <x:c r="D206" s="54" t="str">
        <x:v>兴海南路-梅堰</x:v>
      </x:c>
      <x:c r="E206" s="88" t="n">
        <x:v>11</x:v>
      </x:c>
      <x:c r="F206" s="88" t="n">
        <x:v>625</x:v>
      </x:c>
      <x:c r="G206" s="54" t="str">
        <x:v>2024-07-02 15:07:51</x:v>
      </x:c>
      <x:c r="H206" s="54" t="str">
        <x:v>2024-07-02 15:09:13</x:v>
      </x:c>
      <x:c r="I206" s="54" t="str">
        <x:v>traceability-cache</x:v>
      </x:c>
      <x:c r="J206" s="54" t="str">
        <x:v>cache</x:v>
      </x:c>
      <x:c r="K206" s="88" t="n">
        <x:v>1641</x:v>
      </x:c>
      <x:c r="L206" s="60" t="n">
        <x:v>82</x:v>
      </x:c>
      <x:c r="M206" s="60" t="n">
        <x:v>0.8339552777777773</x:v>
      </x:c>
      <x:c r="N206" s="60" t="n">
        <x:v>215.54</x:v>
      </x:c>
      <x:c r="O206" s="60" t="n">
        <x:v>13.140805651881944</x:v>
      </x:c>
      <x:c r="P206" s="60" t="n">
        <x:v>13.13491073351133</x:v>
      </x:c>
      <x:c r="Q206" s="60" t="n">
        <x:v>-0.0058949183706154</x:v>
      </x:c>
      <x:c r="R206" s="63" t="n">
        <x:v>-0.0448596419944098</x:v>
      </x:c>
    </x:row>
    <x:row r="207" ht="15.75" customHeight="1">
      <x:c r="A207" s="70" t="n">
        <x:v>12</x:v>
      </x:c>
      <x:c r="B207" s="54" t="str">
        <x:v>UP012_20240702_141702_R603</x:v>
      </x:c>
      <x:c r="C207" s="88" t="n">
        <x:v>24</x:v>
      </x:c>
      <x:c r="D207" s="54" t="str">
        <x:v>梅堰-永茂路</x:v>
      </x:c>
      <x:c r="E207" s="88" t="n">
        <x:v>7</x:v>
      </x:c>
      <x:c r="F207" s="88" t="n">
        <x:v>626</x:v>
      </x:c>
      <x:c r="G207" s="54" t="str">
        <x:v>2024-07-02 15:09:48</x:v>
      </x:c>
      <x:c r="H207" s="54" t="str">
        <x:v>2024-07-02 15:15:18</x:v>
      </x:c>
      <x:c r="I207" s="54" t="str">
        <x:v>traceability-cache</x:v>
      </x:c>
      <x:c r="J207" s="54" t="str">
        <x:v>cache</x:v>
      </x:c>
      <x:c r="K207" s="88" t="n">
        <x:v>6586</x:v>
      </x:c>
      <x:c r="L207" s="60" t="n">
        <x:v>329.25</x:v>
      </x:c>
      <x:c r="M207" s="60" t="n">
        <x:v>3.675095694444435</x:v>
      </x:c>
      <x:c r="N207" s="60" t="n">
        <x:v>215.54</x:v>
      </x:c>
      <x:c r="O207" s="60" t="n">
        <x:v>26.13913722615278</x:v>
      </x:c>
      <x:c r="P207" s="60" t="n">
        <x:v>25.63750949911512</x:v>
      </x:c>
      <x:c r="Q207" s="60" t="n">
        <x:v>-0.5016277270376595</x:v>
      </x:c>
      <x:c r="R207" s="63" t="n">
        <x:v>-1.919067652071431</x:v>
      </x:c>
    </x:row>
    <x:row r="208" ht="15.75" customHeight="1">
      <x:c r="A208" s="70" t="n">
        <x:v>12</x:v>
      </x:c>
      <x:c r="B208" s="54" t="str">
        <x:v>UP012_20240702_141702_R603</x:v>
      </x:c>
      <x:c r="C208" s="88" t="n">
        <x:v>25</x:v>
      </x:c>
      <x:c r="D208" s="54" t="str">
        <x:v>永茂路-镇海大道</x:v>
      </x:c>
      <x:c r="E208" s="88" t="n">
        <x:v>11</x:v>
      </x:c>
      <x:c r="F208" s="88" t="n">
        <x:v>627</x:v>
      </x:c>
      <x:c r="G208" s="54" t="str">
        <x:v>2024-07-02 15:15:45</x:v>
      </x:c>
      <x:c r="H208" s="54" t="str">
        <x:v>2024-07-02 15:18:07</x:v>
      </x:c>
      <x:c r="I208" s="54" t="str">
        <x:v>traceability-cache</x:v>
      </x:c>
      <x:c r="J208" s="54" t="str">
        <x:v>cache</x:v>
      </x:c>
      <x:c r="K208" s="88" t="n">
        <x:v>2848</x:v>
      </x:c>
      <x:c r="L208" s="60" t="n">
        <x:v>142.35</x:v>
      </x:c>
      <x:c r="M208" s="60" t="n">
        <x:v>2.133948888888889</x:v>
      </x:c>
      <x:c r="N208" s="60" t="n">
        <x:v>215.44</x:v>
      </x:c>
      <x:c r="O208" s="60" t="n">
        <x:v>17.949127081597222</x:v>
      </x:c>
      <x:c r="P208" s="60" t="n">
        <x:v>17.42676908067269</x:v>
      </x:c>
      <x:c r="Q208" s="60" t="n">
        <x:v>-0.5223580009245343</x:v>
      </x:c>
      <x:c r="R208" s="63" t="n">
        <x:v>-2.91021395385904</x:v>
      </x:c>
    </x:row>
    <x:row r="209" ht="15.75" customHeight="1">
      <x:c r="A209" s="70" t="n">
        <x:v>12</x:v>
      </x:c>
      <x:c r="B209" s="54" t="str">
        <x:v>UP012_20240702_141702_R603</x:v>
      </x:c>
      <x:c r="C209" s="88" t="n">
        <x:v>26</x:v>
      </x:c>
      <x:c r="D209" s="54" t="str">
        <x:v>镇海大道-骆驼桥</x:v>
      </x:c>
      <x:c r="E209" s="88" t="n">
        <x:v>11</x:v>
      </x:c>
      <x:c r="F209" s="88" t="n">
        <x:v>628</x:v>
      </x:c>
      <x:c r="G209" s="54" t="str">
        <x:v>2024-07-02 15:18:35</x:v>
      </x:c>
      <x:c r="H209" s="54" t="str">
        <x:v>2024-07-02 15:20:31</x:v>
      </x:c>
      <x:c r="I209" s="54" t="str">
        <x:v>traceability-cache</x:v>
      </x:c>
      <x:c r="J209" s="54" t="str">
        <x:v>cache</x:v>
      </x:c>
      <x:c r="K209" s="88" t="n">
        <x:v>2330</x:v>
      </x:c>
      <x:c r="L209" s="60" t="n">
        <x:v>116.45</x:v>
      </x:c>
      <x:c r="M209" s="60" t="n">
        <x:v>1.5966106944444491</x:v>
      </x:c>
      <x:c r="N209" s="60" t="n">
        <x:v>215.34</x:v>
      </x:c>
      <x:c r="O209" s="60" t="n">
        <x:v>20.16548098632639</x:v>
      </x:c>
      <x:c r="P209" s="60" t="n">
        <x:v>18.69299938837712</x:v>
      </x:c>
      <x:c r="Q209" s="60" t="n">
        <x:v>-1.4724815979492705</x:v>
      </x:c>
      <x:c r="R209" s="63" t="n">
        <x:v>-7.30199095646524</x:v>
      </x:c>
    </x:row>
    <x:row r="210" ht="15.75" customHeight="1">
      <x:c r="A210" s="70" t="n">
        <x:v>14</x:v>
      </x:c>
      <x:c r="B210" s="54" t="str">
        <x:v>UP014_20240702_184325_R710</x:v>
      </x:c>
      <x:c r="C210" s="88" t="n">
        <x:v>1</x:v>
      </x:c>
      <x:c r="D210" s="54" t="str">
        <x:v>布政-张家潭</x:v>
      </x:c>
      <x:c r="E210" s="88" t="n">
        <x:v>13</x:v>
      </x:c>
      <x:c r="F210" s="88" t="n">
        <x:v>710</x:v>
      </x:c>
      <x:c r="G210" s="54" t="str">
        <x:v>2024-07-02 18:43:25</x:v>
      </x:c>
      <x:c r="H210" s="54" t="str">
        <x:v>2024-07-02 18:45:19</x:v>
      </x:c>
      <x:c r="I210" s="54" t="str">
        <x:v>traceability-cache</x:v>
      </x:c>
      <x:c r="J210" s="54" t="str">
        <x:v>cache</x:v>
      </x:c>
      <x:c r="K210" s="88" t="n">
        <x:v>2279</x:v>
      </x:c>
      <x:c r="L210" s="60" t="n">
        <x:v>113.9</x:v>
      </x:c>
      <x:c r="M210" s="60" t="n">
        <x:v>1.428138055555559</x:v>
      </x:c>
      <x:c r="N210" s="60" t="n">
        <x:v>215.24</x:v>
      </x:c>
      <x:c r="O210" s="60" t="n">
        <x:v>15.98679831553472</x:v>
      </x:c>
      <x:c r="P210" s="60" t="n">
        <x:v>16.1627103287657</x:v>
      </x:c>
      <x:c r="Q210" s="60" t="n">
        <x:v>0.1759120132309799</x:v>
      </x:c>
      <x:c r="R210" s="63" t="n">
        <x:v>1.1003579938832555</x:v>
      </x:c>
    </x:row>
    <x:row r="211" ht="15.75" customHeight="1">
      <x:c r="A211" s="70" t="n">
        <x:v>14</x:v>
      </x:c>
      <x:c r="B211" s="54" t="str">
        <x:v>UP014_20240702_184325_R710</x:v>
      </x:c>
      <x:c r="C211" s="88" t="n">
        <x:v>2</x:v>
      </x:c>
      <x:c r="D211" s="54" t="str">
        <x:v>张家潭-同德路</x:v>
      </x:c>
      <x:c r="E211" s="88" t="n">
        <x:v>13</x:v>
      </x:c>
      <x:c r="F211" s="88" t="n">
        <x:v>711</x:v>
      </x:c>
      <x:c r="G211" s="54" t="str">
        <x:v>2024-07-02 18:45:49</x:v>
      </x:c>
      <x:c r="H211" s="54" t="str">
        <x:v>2024-07-02 18:48:15</x:v>
      </x:c>
      <x:c r="I211" s="54" t="str">
        <x:v>traceability-cache</x:v>
      </x:c>
      <x:c r="J211" s="54" t="str">
        <x:v>cache</x:v>
      </x:c>
      <x:c r="K211" s="88" t="n">
        <x:v>2925</x:v>
      </x:c>
      <x:c r="L211" s="60" t="n">
        <x:v>146.2</x:v>
      </x:c>
      <x:c r="M211" s="60" t="n">
        <x:v>2.020087638888894</x:v>
      </x:c>
      <x:c r="N211" s="60" t="n">
        <x:v>215.24</x:v>
      </x:c>
      <x:c r="O211" s="60" t="n">
        <x:v>18.02394214705556</x:v>
      </x:c>
      <x:c r="P211" s="60" t="n">
        <x:v>17.02187750285903</x:v>
      </x:c>
      <x:c r="Q211" s="60" t="n">
        <x:v>-1.0020646441965255</x:v>
      </x:c>
      <x:c r="R211" s="63" t="n">
        <x:v>-5.559630828931759</x:v>
      </x:c>
    </x:row>
    <x:row r="212" ht="15.75" customHeight="1">
      <x:c r="A212" s="70" t="n">
        <x:v>14</x:v>
      </x:c>
      <x:c r="B212" s="54" t="str">
        <x:v>UP014_20240702_184325_R710</x:v>
      </x:c>
      <x:c r="C212" s="88" t="n">
        <x:v>3</x:v>
      </x:c>
      <x:c r="D212" s="54" t="str">
        <x:v>同德路-石碶</x:v>
      </x:c>
      <x:c r="E212" s="88" t="n">
        <x:v>13</x:v>
      </x:c>
      <x:c r="F212" s="88" t="n">
        <x:v>712</x:v>
      </x:c>
      <x:c r="G212" s="54" t="str">
        <x:v>2024-07-02 18:48:45</x:v>
      </x:c>
      <x:c r="H212" s="54" t="str">
        <x:v>2024-07-02 18:50:30</x:v>
      </x:c>
      <x:c r="I212" s="54" t="str">
        <x:v>traceability-cache</x:v>
      </x:c>
      <x:c r="J212" s="54" t="str">
        <x:v>cache</x:v>
      </x:c>
      <x:c r="K212" s="88" t="n">
        <x:v>2112</x:v>
      </x:c>
      <x:c r="L212" s="60" t="n">
        <x:v>105.55</x:v>
      </x:c>
      <x:c r="M212" s="60" t="n">
        <x:v>1.3312744444444429</x:v>
      </x:c>
      <x:c r="N212" s="60" t="n">
        <x:v>215.24</x:v>
      </x:c>
      <x:c r="O212" s="60" t="n">
        <x:v>16.24500534888889</x:v>
      </x:c>
      <x:c r="P212" s="60" t="n">
        <x:v>15.837793635842656</x:v>
      </x:c>
      <x:c r="Q212" s="60" t="n">
        <x:v>-0.407211713046232</x:v>
      </x:c>
      <x:c r="R212" s="63" t="n">
        <x:v>-2.506688697853117</x:v>
      </x:c>
    </x:row>
    <x:row r="213" ht="15.75" customHeight="1">
      <x:c r="A213" s="70" t="n">
        <x:v>14</x:v>
      </x:c>
      <x:c r="B213" s="54" t="str">
        <x:v>UP014_20240702_184325_R710</x:v>
      </x:c>
      <x:c r="C213" s="88" t="n">
        <x:v>4</x:v>
      </x:c>
      <x:c r="D213" s="54" t="str">
        <x:v>石碶-雅渡</x:v>
      </x:c>
      <x:c r="E213" s="88" t="n">
        <x:v>13</x:v>
      </x:c>
      <x:c r="F213" s="88" t="n">
        <x:v>713</x:v>
      </x:c>
      <x:c r="G213" s="54" t="str">
        <x:v>2024-07-02 18:51:06</x:v>
      </x:c>
      <x:c r="H213" s="54" t="str">
        <x:v>2024-07-02 18:52:28</x:v>
      </x:c>
      <x:c r="I213" s="54" t="str">
        <x:v>traceability-cache</x:v>
      </x:c>
      <x:c r="J213" s="54" t="str">
        <x:v>cache</x:v>
      </x:c>
      <x:c r="K213" s="88" t="n">
        <x:v>1637</x:v>
      </x:c>
      <x:c r="L213" s="60" t="n">
        <x:v>81.8</x:v>
      </x:c>
      <x:c r="M213" s="60" t="n">
        <x:v>0.8273525000000003</x:v>
      </x:c>
      <x:c r="N213" s="60" t="n">
        <x:v>215.54</x:v>
      </x:c>
      <x:c r="O213" s="60" t="n">
        <x:v>12.887156786506946</x:v>
      </x:c>
      <x:c r="P213" s="60" t="n">
        <x:v>13.587875766525748</x:v>
      </x:c>
      <x:c r="Q213" s="60" t="n">
        <x:v>0.7007189800188025</x:v>
      </x:c>
      <x:c r="R213" s="63" t="n">
        <x:v>5.437343485666801</x:v>
      </x:c>
    </x:row>
    <x:row r="214" ht="15.75" customHeight="1">
      <x:c r="A214" s="70" t="n">
        <x:v>14</x:v>
      </x:c>
      <x:c r="B214" s="54" t="str">
        <x:v>UP014_20240702_184325_R710</x:v>
      </x:c>
      <x:c r="C214" s="88" t="n">
        <x:v>5</x:v>
      </x:c>
      <x:c r="D214" s="54" t="str">
        <x:v>雅渡-庙堰</x:v>
      </x:c>
      <x:c r="E214" s="88" t="n">
        <x:v>13</x:v>
      </x:c>
      <x:c r="F214" s="88" t="n">
        <x:v>714</x:v>
      </x:c>
      <x:c r="G214" s="54" t="str">
        <x:v>2024-07-02 18:52:58</x:v>
      </x:c>
      <x:c r="H214" s="54" t="str">
        <x:v>2024-07-02 18:55:07</x:v>
      </x:c>
      <x:c r="I214" s="54" t="str">
        <x:v>traceability-cache</x:v>
      </x:c>
      <x:c r="J214" s="54" t="str">
        <x:v>cache</x:v>
      </x:c>
      <x:c r="K214" s="88" t="n">
        <x:v>2581</x:v>
      </x:c>
      <x:c r="L214" s="60" t="n">
        <x:v>129</x:v>
      </x:c>
      <x:c r="M214" s="60" t="n">
        <x:v>1.859977500000002</x:v>
      </x:c>
      <x:c r="N214" s="60" t="n">
        <x:v>215.54</x:v>
      </x:c>
      <x:c r="O214" s="60" t="n">
        <x:v>21.647251246958334</x:v>
      </x:c>
      <x:c r="P214" s="60" t="n">
        <x:v>20.94640814701096</x:v>
      </x:c>
      <x:c r="Q214" s="60" t="n">
        <x:v>-0.7008430999473748</x:v>
      </x:c>
      <x:c r="R214" s="63" t="n">
        <x:v>-3.2375616282730157</x:v>
      </x:c>
    </x:row>
    <x:row r="215" ht="15.75" customHeight="1">
      <x:c r="A215" s="70" t="n">
        <x:v>14</x:v>
      </x:c>
      <x:c r="B215" s="54" t="str">
        <x:v>UP014_20240702_184325_R710</x:v>
      </x:c>
      <x:c r="C215" s="88" t="n">
        <x:v>6</x:v>
      </x:c>
      <x:c r="D215" s="54" t="str">
        <x:v>庙堰-钟公庙</x:v>
      </x:c>
      <x:c r="E215" s="88" t="n">
        <x:v>13</x:v>
      </x:c>
      <x:c r="F215" s="88" t="n">
        <x:v>715</x:v>
      </x:c>
      <x:c r="G215" s="54" t="str">
        <x:v>2024-07-02 18:55:36</x:v>
      </x:c>
      <x:c r="H215" s="54" t="str">
        <x:v>2024-07-02 18:57:11</x:v>
      </x:c>
      <x:c r="I215" s="54" t="str">
        <x:v>traceability-cache</x:v>
      </x:c>
      <x:c r="J215" s="54" t="str">
        <x:v>cache</x:v>
      </x:c>
      <x:c r="K215" s="88" t="n">
        <x:v>1892</x:v>
      </x:c>
      <x:c r="L215" s="60" t="n">
        <x:v>94.55</x:v>
      </x:c>
      <x:c r="M215" s="60" t="n">
        <x:v>1.087106805555555</x:v>
      </x:c>
      <x:c r="N215" s="60" t="n">
        <x:v>215.74</x:v>
      </x:c>
      <x:c r="O215" s="60" t="n">
        <x:v>15.638986507618055</x:v>
      </x:c>
      <x:c r="P215" s="60" t="n">
        <x:v>15.788917362996614</x:v>
      </x:c>
      <x:c r="Q215" s="60" t="n">
        <x:v>0.1499308553785558</x:v>
      </x:c>
      <x:c r="R215" s="63" t="n">
        <x:v>0.9586993076918482</x:v>
      </x:c>
    </x:row>
    <x:row r="216" ht="15.75" customHeight="1">
      <x:c r="A216" s="70" t="n">
        <x:v>14</x:v>
      </x:c>
      <x:c r="B216" s="54" t="str">
        <x:v>UP014_20240702_184325_R710</x:v>
      </x:c>
      <x:c r="C216" s="88" t="n">
        <x:v>7</x:v>
      </x:c>
      <x:c r="D216" s="54" t="str">
        <x:v>钟公庙-鄞州区政府</x:v>
      </x:c>
      <x:c r="E216" s="88" t="n">
        <x:v>13</x:v>
      </x:c>
      <x:c r="F216" s="88" t="n">
        <x:v>716</x:v>
      </x:c>
      <x:c r="G216" s="54" t="str">
        <x:v>2024-07-02 18:57:41</x:v>
      </x:c>
      <x:c r="H216" s="54" t="str">
        <x:v>2024-07-02 18:59:09</x:v>
      </x:c>
      <x:c r="I216" s="54" t="str">
        <x:v>traceability-cache</x:v>
      </x:c>
      <x:c r="J216" s="54" t="str">
        <x:v>cache</x:v>
      </x:c>
      <x:c r="K216" s="88" t="n">
        <x:v>1763</x:v>
      </x:c>
      <x:c r="L216" s="60" t="n">
        <x:v>88.1</x:v>
      </x:c>
      <x:c r="M216" s="60" t="n">
        <x:v>0.98464986111111</x:v>
      </x:c>
      <x:c r="N216" s="60" t="n">
        <x:v>215.54</x:v>
      </x:c>
      <x:c r="O216" s="60" t="n">
        <x:v>13.438897798680555</x:v>
      </x:c>
      <x:c r="P216" s="60" t="n">
        <x:v>13.876356787920876</x:v>
      </x:c>
      <x:c r="Q216" s="60" t="n">
        <x:v>0.4374589892403183</x:v>
      </x:c>
      <x:c r="R216" s="63" t="n">
        <x:v>3.255170147088018</x:v>
      </x:c>
    </x:row>
    <x:row r="217" ht="15.75" customHeight="1">
      <x:c r="A217" s="70" t="n">
        <x:v>14</x:v>
      </x:c>
      <x:c r="B217" s="54" t="str">
        <x:v>UP014_20240702_184325_R710</x:v>
      </x:c>
      <x:c r="C217" s="88" t="n">
        <x:v>8</x:v>
      </x:c>
      <x:c r="D217" s="54" t="str">
        <x:v>鄞州区政府-钱湖南路</x:v>
      </x:c>
      <x:c r="E217" s="88" t="n">
        <x:v>13</x:v>
      </x:c>
      <x:c r="F217" s="88" t="n">
        <x:v>717</x:v>
      </x:c>
      <x:c r="G217" s="54" t="str">
        <x:v>2024-07-02 18:59:50</x:v>
      </x:c>
      <x:c r="H217" s="54" t="str">
        <x:v>2024-07-02 19:01:57</x:v>
      </x:c>
      <x:c r="I217" s="54" t="str">
        <x:v>traceability-cache</x:v>
      </x:c>
      <x:c r="J217" s="54" t="str">
        <x:v>cache</x:v>
      </x:c>
      <x:c r="K217" s="88" t="n">
        <x:v>2527</x:v>
      </x:c>
      <x:c r="L217" s="60" t="n">
        <x:v>126.3</x:v>
      </x:c>
      <x:c r="M217" s="60" t="n">
        <x:v>1.811989583333335</x:v>
      </x:c>
      <x:c r="N217" s="60" t="n">
        <x:v>216.62</x:v>
      </x:c>
      <x:c r="O217" s="60" t="n">
        <x:v>19.54679330188889</x:v>
      </x:c>
      <x:c r="P217" s="60" t="n">
        <x:v>18.08262695758628</x:v>
      </x:c>
      <x:c r="Q217" s="60" t="n">
        <x:v>-1.4641663443026118</x:v>
      </x:c>
      <x:c r="R217" s="63" t="n">
        <x:v>-7.490570559014011</x:v>
      </x:c>
    </x:row>
    <x:row r="218" ht="15.75" customHeight="1">
      <x:c r="A218" s="70" t="n">
        <x:v>14</x:v>
      </x:c>
      <x:c r="B218" s="54" t="str">
        <x:v>UP014_20240702_184325_R710</x:v>
      </x:c>
      <x:c r="C218" s="88" t="n">
        <x:v>9</x:v>
      </x:c>
      <x:c r="D218" s="54" t="str">
        <x:v>钱湖南路-南高教园区</x:v>
      </x:c>
      <x:c r="E218" s="88" t="n">
        <x:v>13</x:v>
      </x:c>
      <x:c r="F218" s="88" t="n">
        <x:v>718</x:v>
      </x:c>
      <x:c r="G218" s="54" t="str">
        <x:v>2024-07-02 19:02:27</x:v>
      </x:c>
      <x:c r="H218" s="54" t="str">
        <x:v>2024-07-02 19:04:04</x:v>
      </x:c>
      <x:c r="I218" s="54" t="str">
        <x:v>traceability-cache</x:v>
      </x:c>
      <x:c r="J218" s="54" t="str">
        <x:v>cache</x:v>
      </x:c>
      <x:c r="K218" s="88" t="n">
        <x:v>1935</x:v>
      </x:c>
      <x:c r="L218" s="60" t="n">
        <x:v>96.7</x:v>
      </x:c>
      <x:c r="M218" s="60" t="n">
        <x:v>1.169119861111113</x:v>
      </x:c>
      <x:c r="N218" s="60" t="n">
        <x:v>216.82</x:v>
      </x:c>
      <x:c r="O218" s="60" t="n">
        <x:v>16.056799769770834</x:v>
      </x:c>
      <x:c r="P218" s="60" t="n">
        <x:v>16.0917207587656</x:v>
      </x:c>
      <x:c r="Q218" s="60" t="n">
        <x:v>0.0349209889947669</x:v>
      </x:c>
      <x:c r="R218" s="63" t="n">
        <x:v>0.2174841157358802</x:v>
      </x:c>
    </x:row>
    <x:row r="219" ht="15.75" customHeight="1">
      <x:c r="A219" s="70" t="n">
        <x:v>14</x:v>
      </x:c>
      <x:c r="B219" s="54" t="str">
        <x:v>UP014_20240702_184325_R710</x:v>
      </x:c>
      <x:c r="C219" s="88" t="n">
        <x:v>10</x:v>
      </x:c>
      <x:c r="D219" s="54" t="str">
        <x:v>南高教园区-下应路</x:v>
      </x:c>
      <x:c r="E219" s="88" t="n">
        <x:v>13</x:v>
      </x:c>
      <x:c r="F219" s="88" t="n">
        <x:v>719</x:v>
      </x:c>
      <x:c r="G219" s="54" t="str">
        <x:v>2024-07-02 19:04:39</x:v>
      </x:c>
      <x:c r="H219" s="54" t="str">
        <x:v>2024-07-02 19:06:29</x:v>
      </x:c>
      <x:c r="I219" s="54" t="str">
        <x:v>traceability-cache</x:v>
      </x:c>
      <x:c r="J219" s="54" t="str">
        <x:v>cache</x:v>
      </x:c>
      <x:c r="K219" s="88" t="n">
        <x:v>2214</x:v>
      </x:c>
      <x:c r="L219" s="60" t="n">
        <x:v>110.65</x:v>
      </x:c>
      <x:c r="M219" s="60" t="n">
        <x:v>1.452085694444444</x:v>
      </x:c>
      <x:c r="N219" s="60" t="n">
        <x:v>217.02</x:v>
      </x:c>
      <x:c r="O219" s="60" t="n">
        <x:v>21.32037907136806</x:v>
      </x:c>
      <x:c r="P219" s="60" t="n">
        <x:v>19.956160712452345</x:v>
      </x:c>
      <x:c r="Q219" s="60" t="n">
        <x:v>-1.364218358915714</x:v>
      </x:c>
      <x:c r="R219" s="63" t="n">
        <x:v>-6.398659021723373</x:v>
      </x:c>
    </x:row>
    <x:row r="220" ht="15.75" customHeight="1">
      <x:c r="A220" s="70" t="n">
        <x:v>14</x:v>
      </x:c>
      <x:c r="B220" s="54" t="str">
        <x:v>UP014_20240702_184325_R710</x:v>
      </x:c>
      <x:c r="C220" s="88" t="n">
        <x:v>11</x:v>
      </x:c>
      <x:c r="D220" s="54" t="str">
        <x:v>下应路-大洋江</x:v>
      </x:c>
      <x:c r="E220" s="88" t="n">
        <x:v>13</x:v>
      </x:c>
      <x:c r="F220" s="88" t="n">
        <x:v>720</x:v>
      </x:c>
      <x:c r="G220" s="54" t="str">
        <x:v>2024-07-02 19:06:58</x:v>
      </x:c>
      <x:c r="H220" s="54" t="str">
        <x:v>2024-07-02 19:08:40</x:v>
      </x:c>
      <x:c r="I220" s="54" t="str">
        <x:v>traceability-cache</x:v>
      </x:c>
      <x:c r="J220" s="54" t="str">
        <x:v>cache</x:v>
      </x:c>
      <x:c r="K220" s="88" t="n">
        <x:v>2030</x:v>
      </x:c>
      <x:c r="L220" s="60" t="n">
        <x:v>101.45</x:v>
      </x:c>
      <x:c r="M220" s="60" t="n">
        <x:v>1.2139445833333309</x:v>
      </x:c>
      <x:c r="N220" s="60" t="n">
        <x:v>216.74</x:v>
      </x:c>
      <x:c r="O220" s="60" t="n">
        <x:v>13.59501688235417</x:v>
      </x:c>
      <x:c r="P220" s="60" t="n">
        <x:v>13.379280965171391</x:v>
      </x:c>
      <x:c r="Q220" s="60" t="n">
        <x:v>-0.2157359171827775</x:v>
      </x:c>
      <x:c r="R220" s="63" t="n">
        <x:v>-1.58687494873798</x:v>
      </x:c>
    </x:row>
    <x:row r="221" ht="15.75" customHeight="1">
      <x:c r="A221" s="70" t="n">
        <x:v>14</x:v>
      </x:c>
      <x:c r="B221" s="54" t="str">
        <x:v>UP014_20240702_184325_R710</x:v>
      </x:c>
      <x:c r="C221" s="88" t="n">
        <x:v>12</x:v>
      </x:c>
      <x:c r="D221" s="54" t="str">
        <x:v>大洋江-泗港</x:v>
      </x:c>
      <x:c r="E221" s="88" t="n">
        <x:v>13</x:v>
      </x:c>
      <x:c r="F221" s="88" t="n">
        <x:v>721</x:v>
      </x:c>
      <x:c r="G221" s="54" t="str">
        <x:v>2024-07-02 19:09:10</x:v>
      </x:c>
      <x:c r="H221" s="54" t="str">
        <x:v>2024-07-02 19:10:39</x:v>
      </x:c>
      <x:c r="I221" s="54" t="str">
        <x:v>traceability-cache</x:v>
      </x:c>
      <x:c r="J221" s="54" t="str">
        <x:v>cache</x:v>
      </x:c>
      <x:c r="K221" s="88" t="n">
        <x:v>1783</x:v>
      </x:c>
      <x:c r="L221" s="60" t="n">
        <x:v>89.1</x:v>
      </x:c>
      <x:c r="M221" s="60" t="n">
        <x:v>0.9586281944444458</x:v>
      </x:c>
      <x:c r="N221" s="60" t="n">
        <x:v>216.94</x:v>
      </x:c>
      <x:c r="O221" s="60" t="n">
        <x:v>12.736976253756945</x:v>
      </x:c>
      <x:c r="P221" s="60" t="n">
        <x:v>12.695309357101207</x:v>
      </x:c>
      <x:c r="Q221" s="60" t="n">
        <x:v>-0.0416668966557354</x:v>
      </x:c>
      <x:c r="R221" s="63" t="n">
        <x:v>-0.3271333464521863</x:v>
      </x:c>
    </x:row>
    <x:row r="222" ht="15.75" customHeight="1">
      <x:c r="A222" s="70" t="n">
        <x:v>14</x:v>
      </x:c>
      <x:c r="B222" s="54" t="str">
        <x:v>UP014_20240702_184325_R710</x:v>
      </x:c>
      <x:c r="C222" s="88" t="n">
        <x:v>13</x:v>
      </x:c>
      <x:c r="D222" s="54" t="str">
        <x:v>泗港-曹隘</x:v>
      </x:c>
      <x:c r="E222" s="88" t="n">
        <x:v>13</x:v>
      </x:c>
      <x:c r="F222" s="88" t="n">
        <x:v>722</x:v>
      </x:c>
      <x:c r="G222" s="54" t="str">
        <x:v>2024-07-02 19:11:09</x:v>
      </x:c>
      <x:c r="H222" s="54" t="str">
        <x:v>2024-07-02 19:13:23</x:v>
      </x:c>
      <x:c r="I222" s="54" t="str">
        <x:v>traceability-cache</x:v>
      </x:c>
      <x:c r="J222" s="54" t="str">
        <x:v>cache</x:v>
      </x:c>
      <x:c r="K222" s="88" t="n">
        <x:v>2670</x:v>
      </x:c>
      <x:c r="L222" s="60" t="n">
        <x:v>133.45</x:v>
      </x:c>
      <x:c r="M222" s="60" t="n">
        <x:v>1.798845277777778</x:v>
      </x:c>
      <x:c r="N222" s="60" t="n">
        <x:v>216.92</x:v>
      </x:c>
      <x:c r="O222" s="60" t="n">
        <x:v>22.93229794234028</x:v>
      </x:c>
      <x:c r="P222" s="60" t="n">
        <x:v>23.29915497501627</x:v>
      </x:c>
      <x:c r="Q222" s="60" t="n">
        <x:v>0.3668570326759873</x:v>
      </x:c>
      <x:c r="R222" s="63" t="n">
        <x:v>1.5997395184660197</x:v>
      </x:c>
    </x:row>
    <x:row r="223" ht="15.75" customHeight="1">
      <x:c r="A223" s="70" t="n">
        <x:v>14</x:v>
      </x:c>
      <x:c r="B223" s="54" t="str">
        <x:v>UP014_20240702_184325_R710</x:v>
      </x:c>
      <x:c r="C223" s="88" t="n">
        <x:v>14</x:v>
      </x:c>
      <x:c r="D223" s="54" t="str">
        <x:v>曹隘-柳隘</x:v>
      </x:c>
      <x:c r="E223" s="88" t="n">
        <x:v>13</x:v>
      </x:c>
      <x:c r="F223" s="88" t="n">
        <x:v>723</x:v>
      </x:c>
      <x:c r="G223" s="54" t="str">
        <x:v>2024-07-02 19:13:54</x:v>
      </x:c>
      <x:c r="H223" s="54" t="str">
        <x:v>2024-07-02 19:15:41</x:v>
      </x:c>
      <x:c r="I223" s="54" t="str">
        <x:v>traceability-cache</x:v>
      </x:c>
      <x:c r="J223" s="54" t="str">
        <x:v>cache</x:v>
      </x:c>
      <x:c r="K223" s="88" t="n">
        <x:v>2142</x:v>
      </x:c>
      <x:c r="L223" s="60" t="n">
        <x:v>107.05</x:v>
      </x:c>
      <x:c r="M223" s="60" t="n">
        <x:v>1.306476666666666</x:v>
      </x:c>
      <x:c r="N223" s="60" t="n">
        <x:v>216.82</x:v>
      </x:c>
      <x:c r="O223" s="60" t="n">
        <x:v>21.076775137</x:v>
      </x:c>
      <x:c r="P223" s="60" t="n">
        <x:v>21.92367877893089</x:v>
      </x:c>
      <x:c r="Q223" s="60" t="n">
        <x:v>0.8469036419308941</x:v>
      </x:c>
      <x:c r="R223" s="63" t="n">
        <x:v>4.018184169190884</x:v>
      </x:c>
    </x:row>
    <x:row r="224" ht="15.75" customHeight="1">
      <x:c r="A224" s="70" t="n">
        <x:v>14</x:v>
      </x:c>
      <x:c r="B224" s="54" t="str">
        <x:v>UP014_20240702_184325_R710</x:v>
      </x:c>
      <x:c r="C224" s="88" t="n">
        <x:v>15</x:v>
      </x:c>
      <x:c r="D224" s="54" t="str">
        <x:v>柳隘-海晏北路</x:v>
      </x:c>
      <x:c r="E224" s="88" t="n">
        <x:v>13</x:v>
      </x:c>
      <x:c r="F224" s="88" t="n">
        <x:v>724</x:v>
      </x:c>
      <x:c r="G224" s="54" t="str">
        <x:v>2024-07-02 19:16:10</x:v>
      </x:c>
      <x:c r="H224" s="54" t="str">
        <x:v>2024-07-02 19:17:39</x:v>
      </x:c>
      <x:c r="I224" s="54" t="str">
        <x:v>traceability-cache</x:v>
      </x:c>
      <x:c r="J224" s="54" t="str">
        <x:v>cache</x:v>
      </x:c>
      <x:c r="K224" s="88" t="n">
        <x:v>1776</x:v>
      </x:c>
      <x:c r="L224" s="60" t="n">
        <x:v>88.75</x:v>
      </x:c>
      <x:c r="M224" s="60" t="n">
        <x:v>0.9808087500000008</x:v>
      </x:c>
      <x:c r="N224" s="60" t="n">
        <x:v>216.94</x:v>
      </x:c>
      <x:c r="O224" s="60" t="n">
        <x:v>14.640517916868056</x:v>
      </x:c>
      <x:c r="P224" s="60" t="n">
        <x:v>15.021900048662223</x:v>
      </x:c>
      <x:c r="Q224" s="60" t="n">
        <x:v>0.3813821317941656</x:v>
      </x:c>
      <x:c r="R224" s="63" t="n">
        <x:v>2.6049770504003598</x:v>
      </x:c>
    </x:row>
    <x:row r="225" ht="15.75" customHeight="1">
      <x:c r="A225" s="70" t="n">
        <x:v>14</x:v>
      </x:c>
      <x:c r="B225" s="54" t="str">
        <x:v>UP014_20240702_184325_R710</x:v>
      </x:c>
      <x:c r="C225" s="88" t="n">
        <x:v>16</x:v>
      </x:c>
      <x:c r="D225" s="54" t="str">
        <x:v>海晏北路-民安东路</x:v>
      </x:c>
      <x:c r="E225" s="88" t="n">
        <x:v>13</x:v>
      </x:c>
      <x:c r="F225" s="88" t="n">
        <x:v>725</x:v>
      </x:c>
      <x:c r="G225" s="54" t="str">
        <x:v>2024-07-02 19:18:25</x:v>
      </x:c>
      <x:c r="H225" s="54" t="str">
        <x:v>2024-07-02 19:19:48</x:v>
      </x:c>
      <x:c r="I225" s="54" t="str">
        <x:v>traceability-cache</x:v>
      </x:c>
      <x:c r="J225" s="54" t="str">
        <x:v>cache</x:v>
      </x:c>
      <x:c r="K225" s="88" t="n">
        <x:v>1669</x:v>
      </x:c>
      <x:c r="L225" s="60" t="n">
        <x:v>83.4</x:v>
      </x:c>
      <x:c r="M225" s="60" t="n">
        <x:v>0.865189305555554</x:v>
      </x:c>
      <x:c r="N225" s="60" t="n">
        <x:v>218.22</x:v>
      </x:c>
      <x:c r="O225" s="60" t="n">
        <x:v>15.844905582118056</x:v>
      </x:c>
      <x:c r="P225" s="60" t="n">
        <x:v>16.194197922125895</x:v>
      </x:c>
      <x:c r="Q225" s="60" t="n">
        <x:v>0.3492923400078398</x:v>
      </x:c>
      <x:c r="R225" s="63" t="n">
        <x:v>2.2044457014754166</x:v>
      </x:c>
    </x:row>
    <x:row r="226" ht="15.75" customHeight="1">
      <x:c r="A226" s="70" t="n">
        <x:v>14</x:v>
      </x:c>
      <x:c r="B226" s="54" t="str">
        <x:v>UP014_20240702_184325_R710</x:v>
      </x:c>
      <x:c r="C226" s="88" t="n">
        <x:v>17</x:v>
      </x:c>
      <x:c r="D226" s="54" t="str">
        <x:v>民安东路-会展中心</x:v>
      </x:c>
      <x:c r="E226" s="88" t="n">
        <x:v>13</x:v>
      </x:c>
      <x:c r="F226" s="88" t="n">
        <x:v>726</x:v>
      </x:c>
      <x:c r="G226" s="54" t="str">
        <x:v>2024-07-02 19:20:18</x:v>
      </x:c>
      <x:c r="H226" s="54" t="str">
        <x:v>2024-07-02 19:21:35</x:v>
      </x:c>
      <x:c r="I226" s="54" t="str">
        <x:v>traceability-cache</x:v>
      </x:c>
      <x:c r="J226" s="54" t="str">
        <x:v>cache</x:v>
      </x:c>
      <x:c r="K226" s="88" t="n">
        <x:v>1543</x:v>
      </x:c>
      <x:c r="L226" s="60" t="n">
        <x:v>77.1</x:v>
      </x:c>
      <x:c r="M226" s="60" t="n">
        <x:v>0.7257420833333331</x:v>
      </x:c>
      <x:c r="N226" s="60" t="n">
        <x:v>218.42</x:v>
      </x:c>
      <x:c r="O226" s="60" t="n">
        <x:v>12.579560042444442</x:v>
      </x:c>
      <x:c r="P226" s="60" t="n">
        <x:v>12.960547914928988</x:v>
      </x:c>
      <x:c r="Q226" s="60" t="n">
        <x:v>0.3809878724845457</x:v>
      </x:c>
      <x:c r="R226" s="63" t="n">
        <x:v>3.0286263684823806</x:v>
      </x:c>
    </x:row>
    <x:row r="227" ht="15.75" customHeight="1">
      <x:c r="A227" s="70" t="n">
        <x:v>14</x:v>
      </x:c>
      <x:c r="B227" s="54" t="str">
        <x:v>UP014_20240702_184325_R710</x:v>
      </x:c>
      <x:c r="C227" s="88" t="n">
        <x:v>18</x:v>
      </x:c>
      <x:c r="D227" s="54" t="str">
        <x:v>会展中心-院士路</x:v>
      </x:c>
      <x:c r="E227" s="88" t="n">
        <x:v>13</x:v>
      </x:c>
      <x:c r="F227" s="88" t="n">
        <x:v>727</x:v>
      </x:c>
      <x:c r="G227" s="54" t="str">
        <x:v>2024-07-02 19:22:05</x:v>
      </x:c>
      <x:c r="H227" s="54" t="str">
        <x:v>2024-07-02 19:24:00</x:v>
      </x:c>
      <x:c r="I227" s="54" t="str">
        <x:v>traceability-cache</x:v>
      </x:c>
      <x:c r="J227" s="54" t="str">
        <x:v>cache</x:v>
      </x:c>
      <x:c r="K227" s="88" t="n">
        <x:v>2286</x:v>
      </x:c>
      <x:c r="L227" s="60" t="n">
        <x:v>114.25</x:v>
      </x:c>
      <x:c r="M227" s="60" t="n">
        <x:v>1.551948888888887</x:v>
      </x:c>
      <x:c r="N227" s="60" t="n">
        <x:v>218.52</x:v>
      </x:c>
      <x:c r="O227" s="60" t="n">
        <x:v>15.129153249</x:v>
      </x:c>
      <x:c r="P227" s="60" t="n">
        <x:v>15.196333162509104</x:v>
      </x:c>
      <x:c r="Q227" s="60" t="n">
        <x:v>0.0671799135091041</x:v>
      </x:c>
      <x:c r="R227" s="63" t="n">
        <x:v>0.4440427854978902</x:v>
      </x:c>
    </x:row>
    <x:row r="228" ht="15.75" customHeight="1">
      <x:c r="A228" s="70" t="n">
        <x:v>14</x:v>
      </x:c>
      <x:c r="B228" s="54" t="str">
        <x:v>UP014_20240702_184325_R710</x:v>
      </x:c>
      <x:c r="C228" s="88" t="n">
        <x:v>19</x:v>
      </x:c>
      <x:c r="D228" s="54" t="str">
        <x:v>院士路-盎孟港</x:v>
      </x:c>
      <x:c r="E228" s="88" t="n">
        <x:v>13</x:v>
      </x:c>
      <x:c r="F228" s="88" t="n">
        <x:v>728</x:v>
      </x:c>
      <x:c r="G228" s="54" t="str">
        <x:v>2024-07-02 19:24:30</x:v>
      </x:c>
      <x:c r="H228" s="54" t="str">
        <x:v>2024-07-02 19:25:59</x:v>
      </x:c>
      <x:c r="I228" s="54" t="str">
        <x:v>traceability-cache</x:v>
      </x:c>
      <x:c r="J228" s="54" t="str">
        <x:v>cache</x:v>
      </x:c>
      <x:c r="K228" s="88" t="n">
        <x:v>1798</x:v>
      </x:c>
      <x:c r="L228" s="60" t="n">
        <x:v>89.85</x:v>
      </x:c>
      <x:c r="M228" s="60" t="n">
        <x:v>0.9951088888888896</x:v>
      </x:c>
      <x:c r="N228" s="60" t="n">
        <x:v>217.92</x:v>
      </x:c>
      <x:c r="O228" s="60" t="n">
        <x:v>19.54279432567361</x:v>
      </x:c>
      <x:c r="P228" s="60" t="n">
        <x:v>19.50840622359846</x:v>
      </x:c>
      <x:c r="Q228" s="60" t="n">
        <x:v>-0.0343881020751505</x:v>
      </x:c>
      <x:c r="R228" s="63" t="n">
        <x:v>-0.1759630762217788</x:v>
      </x:c>
    </x:row>
    <x:row r="229" ht="15.75" customHeight="1">
      <x:c r="A229" s="70" t="n">
        <x:v>14</x:v>
      </x:c>
      <x:c r="B229" s="54" t="str">
        <x:v>UP014_20240702_184325_R710</x:v>
      </x:c>
      <x:c r="C229" s="88" t="n">
        <x:v>20</x:v>
      </x:c>
      <x:c r="D229" s="54" t="str">
        <x:v>盎孟港-三官堂</x:v>
      </x:c>
      <x:c r="E229" s="88" t="n">
        <x:v>13</x:v>
      </x:c>
      <x:c r="F229" s="88" t="n">
        <x:v>729</x:v>
      </x:c>
      <x:c r="G229" s="54" t="str">
        <x:v>2024-07-02 19:26:30</x:v>
      </x:c>
      <x:c r="H229" s="54" t="str">
        <x:v>2024-07-02 19:28:41</x:v>
      </x:c>
      <x:c r="I229" s="54" t="str">
        <x:v>traceability-cache</x:v>
      </x:c>
      <x:c r="J229" s="54" t="str">
        <x:v>cache</x:v>
      </x:c>
      <x:c r="K229" s="88" t="n">
        <x:v>2609</x:v>
      </x:c>
      <x:c r="L229" s="60" t="n">
        <x:v>130.4</x:v>
      </x:c>
      <x:c r="M229" s="60" t="n">
        <x:v>1.878476805555553</x:v>
      </x:c>
      <x:c r="N229" s="60" t="n">
        <x:v>217.52</x:v>
      </x:c>
      <x:c r="O229" s="60" t="n">
        <x:v>19.21701690908333</x:v>
      </x:c>
      <x:c r="P229" s="60" t="n">
        <x:v>17.807346125077796</x:v>
      </x:c>
      <x:c r="Q229" s="60" t="n">
        <x:v>-1.4096707840055387</x:v>
      </x:c>
      <x:c r="R229" s="63" t="n">
        <x:v>-7.335533869147129</x:v>
      </x:c>
    </x:row>
    <x:row r="230" ht="15.75" customHeight="1">
      <x:c r="A230" s="70" t="n">
        <x:v>14</x:v>
      </x:c>
      <x:c r="B230" s="54" t="str">
        <x:v>UP014_20240702_184325_R710</x:v>
      </x:c>
      <x:c r="C230" s="88" t="n">
        <x:v>21</x:v>
      </x:c>
      <x:c r="D230" s="54" t="str">
        <x:v>三官堂-兴庄路</x:v>
      </x:c>
      <x:c r="E230" s="88" t="n">
        <x:v>13</x:v>
      </x:c>
      <x:c r="F230" s="88" t="n">
        <x:v>730</x:v>
      </x:c>
      <x:c r="G230" s="54" t="str">
        <x:v>2024-07-02 19:29:11</x:v>
      </x:c>
      <x:c r="H230" s="54" t="str">
        <x:v>2024-07-02 19:30:49</x:v>
      </x:c>
      <x:c r="I230" s="54" t="str">
        <x:v>traceability-cache</x:v>
      </x:c>
      <x:c r="J230" s="54" t="str">
        <x:v>cache</x:v>
      </x:c>
      <x:c r="K230" s="88" t="n">
        <x:v>1967</x:v>
      </x:c>
      <x:c r="L230" s="60" t="n">
        <x:v>98.3</x:v>
      </x:c>
      <x:c r="M230" s="60" t="n">
        <x:v>1.080591944444442</x:v>
      </x:c>
      <x:c r="N230" s="60" t="n">
        <x:v>216.74</x:v>
      </x:c>
      <x:c r="O230" s="60" t="n">
        <x:v>12.17385735213889</x:v>
      </x:c>
      <x:c r="P230" s="60" t="n">
        <x:v>12.185103813185307</x:v>
      </x:c>
      <x:c r="Q230" s="60" t="n">
        <x:v>0.0112464610464194</x:v>
      </x:c>
      <x:c r="R230" s="63" t="n">
        <x:v>0.0923820669251022</x:v>
      </x:c>
    </x:row>
    <x:row r="231" ht="15.75" customHeight="1">
      <x:c r="A231" s="70" t="n">
        <x:v>14</x:v>
      </x:c>
      <x:c r="B231" s="54" t="str">
        <x:v>UP014_20240702_184325_R710</x:v>
      </x:c>
      <x:c r="C231" s="88" t="n">
        <x:v>22</x:v>
      </x:c>
      <x:c r="D231" s="54" t="str">
        <x:v>兴庄路-兴海南路</x:v>
      </x:c>
      <x:c r="E231" s="88" t="n">
        <x:v>13</x:v>
      </x:c>
      <x:c r="F231" s="88" t="n">
        <x:v>731</x:v>
      </x:c>
      <x:c r="G231" s="54" t="str">
        <x:v>2024-07-02 19:31:20</x:v>
      </x:c>
      <x:c r="H231" s="54" t="str">
        <x:v>2024-07-02 19:32:48</x:v>
      </x:c>
      <x:c r="I231" s="54" t="str">
        <x:v>traceability-cache</x:v>
      </x:c>
      <x:c r="J231" s="54" t="str">
        <x:v>cache</x:v>
      </x:c>
      <x:c r="K231" s="88" t="n">
        <x:v>1762</x:v>
      </x:c>
      <x:c r="L231" s="60" t="n">
        <x:v>88.05</x:v>
      </x:c>
      <x:c r="M231" s="60" t="n">
        <x:v>0.9596486111111124</x:v>
      </x:c>
      <x:c r="N231" s="60" t="n">
        <x:v>215.74</x:v>
      </x:c>
      <x:c r="O231" s="60" t="n">
        <x:v>14.70647826396528</x:v>
      </x:c>
      <x:c r="P231" s="60" t="n">
        <x:v>14.876295265215797</x:v>
      </x:c>
      <x:c r="Q231" s="60" t="n">
        <x:v>0.1698170012505179</x:v>
      </x:c>
      <x:c r="R231" s="63" t="n">
        <x:v>1.1547088174509734</x:v>
      </x:c>
    </x:row>
    <x:row r="232" ht="15.75" customHeight="1">
      <x:c r="A232" s="70" t="n">
        <x:v>14</x:v>
      </x:c>
      <x:c r="B232" s="54" t="str">
        <x:v>UP014_20240702_184325_R710</x:v>
      </x:c>
      <x:c r="C232" s="88" t="n">
        <x:v>23</x:v>
      </x:c>
      <x:c r="D232" s="54" t="str">
        <x:v>兴海南路-梅堰</x:v>
      </x:c>
      <x:c r="E232" s="88" t="n">
        <x:v>13</x:v>
      </x:c>
      <x:c r="F232" s="88" t="n">
        <x:v>732</x:v>
      </x:c>
      <x:c r="G232" s="54" t="str">
        <x:v>2024-07-02 19:33:16</x:v>
      </x:c>
      <x:c r="H232" s="54" t="str">
        <x:v>2024-07-02 19:34:37</x:v>
      </x:c>
      <x:c r="I232" s="54" t="str">
        <x:v>traceability-cache</x:v>
      </x:c>
      <x:c r="J232" s="54" t="str">
        <x:v>cache</x:v>
      </x:c>
      <x:c r="K232" s="88" t="n">
        <x:v>1630</x:v>
      </x:c>
      <x:c r="L232" s="60" t="n">
        <x:v>81.45</x:v>
      </x:c>
      <x:c r="M232" s="60" t="n">
        <x:v>0.8348318055555551</x:v>
      </x:c>
      <x:c r="N232" s="60" t="n">
        <x:v>215.54</x:v>
      </x:c>
      <x:c r="O232" s="60" t="n">
        <x:v>12.733330653506943</x:v>
      </x:c>
      <x:c r="P232" s="60" t="n">
        <x:v>13.645766393543626</x:v>
      </x:c>
      <x:c r="Q232" s="60" t="n">
        <x:v>0.9124357400366826</x:v>
      </x:c>
      <x:c r="R232" s="63" t="n">
        <x:v>7.1657272151759015</x:v>
      </x:c>
    </x:row>
    <x:row r="233" ht="15.75" customHeight="1">
      <x:c r="A233" s="70" t="n">
        <x:v>14</x:v>
      </x:c>
      <x:c r="B233" s="54" t="str">
        <x:v>UP014_20240702_184325_R710</x:v>
      </x:c>
      <x:c r="C233" s="88" t="n">
        <x:v>24</x:v>
      </x:c>
      <x:c r="D233" s="54" t="str">
        <x:v>梅堰-永茂路</x:v>
      </x:c>
      <x:c r="E233" s="88" t="n">
        <x:v>8</x:v>
      </x:c>
      <x:c r="F233" s="88" t="n">
        <x:v>733</x:v>
      </x:c>
      <x:c r="G233" s="54" t="str">
        <x:v>2024-07-02 19:35:07</x:v>
      </x:c>
      <x:c r="H233" s="54" t="str">
        <x:v>2024-07-02 19:40:21</x:v>
      </x:c>
      <x:c r="I233" s="54" t="str">
        <x:v>traceability-cache</x:v>
      </x:c>
      <x:c r="J233" s="54" t="str">
        <x:v>cache</x:v>
      </x:c>
      <x:c r="K233" s="88" t="n">
        <x:v>6282</x:v>
      </x:c>
      <x:c r="L233" s="60" t="n">
        <x:v>314.05</x:v>
      </x:c>
      <x:c r="M233" s="60" t="n">
        <x:v>3.677243611111094</x:v>
      </x:c>
      <x:c r="N233" s="60" t="n">
        <x:v>215.54</x:v>
      </x:c>
      <x:c r="O233" s="60" t="n">
        <x:v>29.85152407217361</x:v>
      </x:c>
      <x:c r="P233" s="60" t="n">
        <x:v>29.150583288567866</x:v>
      </x:c>
      <x:c r="Q233" s="60" t="n">
        <x:v>-0.7009407836057507</x:v>
      </x:c>
      <x:c r="R233" s="63" t="n">
        <x:v>-2.348090442253632</x:v>
      </x:c>
    </x:row>
    <x:row r="234" ht="15.75" customHeight="1">
      <x:c r="A234" s="70" t="n">
        <x:v>14</x:v>
      </x:c>
      <x:c r="B234" s="54" t="str">
        <x:v>UP014_20240702_184325_R710</x:v>
      </x:c>
      <x:c r="C234" s="88" t="n">
        <x:v>25</x:v>
      </x:c>
      <x:c r="D234" s="54" t="str">
        <x:v>永茂路-镇海大道</x:v>
      </x:c>
      <x:c r="E234" s="88" t="n">
        <x:v>13</x:v>
      </x:c>
      <x:c r="F234" s="88" t="n">
        <x:v>734</x:v>
      </x:c>
      <x:c r="G234" s="54" t="str">
        <x:v>2024-07-02 19:40:49</x:v>
      </x:c>
      <x:c r="H234" s="54" t="str">
        <x:v>2024-07-02 19:43:11</x:v>
      </x:c>
      <x:c r="I234" s="54" t="str">
        <x:v>traceability-cache</x:v>
      </x:c>
      <x:c r="J234" s="54" t="str">
        <x:v>cache</x:v>
      </x:c>
      <x:c r="K234" s="88" t="n">
        <x:v>2847</x:v>
      </x:c>
      <x:c r="L234" s="60" t="n">
        <x:v>142.3</x:v>
      </x:c>
      <x:c r="M234" s="60" t="n">
        <x:v>2.132264444444449</x:v>
      </x:c>
      <x:c r="N234" s="60" t="n">
        <x:v>215.34</x:v>
      </x:c>
      <x:c r="O234" s="60" t="n">
        <x:v>18.025790398631944</x:v>
      </x:c>
      <x:c r="P234" s="60" t="n">
        <x:v>17.501842497378128</x:v>
      </x:c>
      <x:c r="Q234" s="60" t="n">
        <x:v>-0.5239479012538141</x:v>
      </x:c>
      <x:c r="R234" s="63" t="n">
        <x:v>-2.9066570156811475</x:v>
      </x:c>
    </x:row>
    <x:row r="235" ht="15.75" customHeight="1">
      <x:c r="A235" s="70" t="n">
        <x:v>14</x:v>
      </x:c>
      <x:c r="B235" s="54" t="str">
        <x:v>UP014_20240702_184325_R710</x:v>
      </x:c>
      <x:c r="C235" s="88" t="n">
        <x:v>26</x:v>
      </x:c>
      <x:c r="D235" s="54" t="str">
        <x:v>镇海大道-骆驼桥</x:v>
      </x:c>
      <x:c r="E235" s="88" t="n">
        <x:v>13</x:v>
      </x:c>
      <x:c r="F235" s="88" t="n">
        <x:v>735</x:v>
      </x:c>
      <x:c r="G235" s="54" t="str">
        <x:v>2024-07-02 19:43:37</x:v>
      </x:c>
      <x:c r="H235" s="54" t="str">
        <x:v>2024-07-02 19:45:35</x:v>
      </x:c>
      <x:c r="I235" s="54" t="str">
        <x:v>traceability-cache</x:v>
      </x:c>
      <x:c r="J235" s="54" t="str">
        <x:v>cache</x:v>
      </x:c>
      <x:c r="K235" s="88" t="n">
        <x:v>2345</x:v>
      </x:c>
      <x:c r="L235" s="60" t="n">
        <x:v>117.2</x:v>
      </x:c>
      <x:c r="M235" s="60" t="n">
        <x:v>1.596697500000007</x:v>
      </x:c>
      <x:c r="N235" s="60" t="n">
        <x:v>215.24</x:v>
      </x:c>
      <x:c r="O235" s="60" t="n">
        <x:v>20.398290542326382</x:v>
      </x:c>
      <x:c r="P235" s="60" t="n">
        <x:v>18.8024248059551</x:v>
      </x:c>
      <x:c r="Q235" s="60" t="n">
        <x:v>-1.5958657363712885</x:v>
      </x:c>
      <x:c r="R235" s="63" t="n">
        <x:v>-7.823526844369002</x:v>
      </x:c>
    </x:row>
    <x:row r="236" ht="15.75" customHeight="1">
      <x:c r="A236" s="70" t="n">
        <x:v>15</x:v>
      </x:c>
      <x:c r="B236" s="54" t="str">
        <x:v>UP015_20240702_210016_R766</x:v>
      </x:c>
      <x:c r="C236" s="88" t="n">
        <x:v>1</x:v>
      </x:c>
      <x:c r="D236" s="54" t="str">
        <x:v>布政-张家潭</x:v>
      </x:c>
      <x:c r="E236" s="88" t="n">
        <x:v>14</x:v>
      </x:c>
      <x:c r="F236" s="88" t="n">
        <x:v>766</x:v>
      </x:c>
      <x:c r="G236" s="54" t="str">
        <x:v>2024-07-02 21:00:16</x:v>
      </x:c>
      <x:c r="H236" s="54" t="str">
        <x:v>2024-07-02 21:02:14</x:v>
      </x:c>
      <x:c r="I236" s="54" t="str">
        <x:v>traceability-cache</x:v>
      </x:c>
      <x:c r="J236" s="54" t="str">
        <x:v>cache</x:v>
      </x:c>
      <x:c r="K236" s="88" t="n">
        <x:v>2350</x:v>
      </x:c>
      <x:c r="L236" s="60" t="n">
        <x:v>117.45</x:v>
      </x:c>
      <x:c r="M236" s="60" t="n">
        <x:v>1.428374027777777</x:v>
      </x:c>
      <x:c r="N236" s="60" t="n">
        <x:v>215.24</x:v>
      </x:c>
      <x:c r="O236" s="60" t="n">
        <x:v>13.074526526916667</x:v>
      </x:c>
      <x:c r="P236" s="60" t="n">
        <x:v>12.99345508285135</x:v>
      </x:c>
      <x:c r="Q236" s="60" t="n">
        <x:v>-0.0810714440653173</x:v>
      </x:c>
      <x:c r="R236" s="63" t="n">
        <x:v>-0.6200717394883455</x:v>
      </x:c>
    </x:row>
    <x:row r="237" ht="15.75" customHeight="1">
      <x:c r="A237" s="70" t="n">
        <x:v>15</x:v>
      </x:c>
      <x:c r="B237" s="54" t="str">
        <x:v>UP015_20240702_210016_R766</x:v>
      </x:c>
      <x:c r="C237" s="88" t="n">
        <x:v>2</x:v>
      </x:c>
      <x:c r="D237" s="54" t="str">
        <x:v>张家潭-同德路</x:v>
      </x:c>
      <x:c r="E237" s="88" t="n">
        <x:v>14</x:v>
      </x:c>
      <x:c r="F237" s="88" t="n">
        <x:v>767</x:v>
      </x:c>
      <x:c r="G237" s="54" t="str">
        <x:v>2024-07-02 21:02:43</x:v>
      </x:c>
      <x:c r="H237" s="54" t="str">
        <x:v>2024-07-02 21:05:15</x:v>
      </x:c>
      <x:c r="I237" s="54" t="str">
        <x:v>traceability-cache</x:v>
      </x:c>
      <x:c r="J237" s="54" t="str">
        <x:v>cache</x:v>
      </x:c>
      <x:c r="K237" s="88" t="n">
        <x:v>3028</x:v>
      </x:c>
      <x:c r="L237" s="60" t="n">
        <x:v>151.35</x:v>
      </x:c>
      <x:c r="M237" s="60" t="n">
        <x:v>2.020946805555554</x:v>
      </x:c>
      <x:c r="N237" s="60" t="n">
        <x:v>215.24</x:v>
      </x:c>
      <x:c r="O237" s="60" t="n">
        <x:v>16.9309505096875</x:v>
      </x:c>
      <x:c r="P237" s="60" t="n">
        <x:v>16.27565017198086</x:v>
      </x:c>
      <x:c r="Q237" s="60" t="n">
        <x:v>-0.6553003377066398</x:v>
      </x:c>
      <x:c r="R237" s="63" t="n">
        <x:v>-3.870428522791393</x:v>
      </x:c>
    </x:row>
    <x:row r="238" ht="15.75" customHeight="1">
      <x:c r="A238" s="70" t="n">
        <x:v>15</x:v>
      </x:c>
      <x:c r="B238" s="54" t="str">
        <x:v>UP015_20240702_210016_R766</x:v>
      </x:c>
      <x:c r="C238" s="88" t="n">
        <x:v>3</x:v>
      </x:c>
      <x:c r="D238" s="54" t="str">
        <x:v>同德路-石碶</x:v>
      </x:c>
      <x:c r="E238" s="88" t="n">
        <x:v>14</x:v>
      </x:c>
      <x:c r="F238" s="88" t="n">
        <x:v>768</x:v>
      </x:c>
      <x:c r="G238" s="54" t="str">
        <x:v>2024-07-02 21:05:44</x:v>
      </x:c>
      <x:c r="H238" s="54" t="str">
        <x:v>2024-07-02 21:07:34</x:v>
      </x:c>
      <x:c r="I238" s="54" t="str">
        <x:v>traceability-cache</x:v>
      </x:c>
      <x:c r="J238" s="54" t="str">
        <x:v>cache</x:v>
      </x:c>
      <x:c r="K238" s="88" t="n">
        <x:v>2202</x:v>
      </x:c>
      <x:c r="L238" s="60" t="n">
        <x:v>110.05</x:v>
      </x:c>
      <x:c r="M238" s="60" t="n">
        <x:v>1.330910833333332</x:v>
      </x:c>
      <x:c r="N238" s="60" t="n">
        <x:v>215.24</x:v>
      </x:c>
      <x:c r="O238" s="60" t="n">
        <x:v>12.339366489819446</x:v>
      </x:c>
      <x:c r="P238" s="60" t="n">
        <x:v>11.93937444329632</x:v>
      </x:c>
      <x:c r="Q238" s="60" t="n">
        <x:v>-0.3999920465231243</x:v>
      </x:c>
      <x:c r="R238" s="63" t="n">
        <x:v>-3.241593049798274</x:v>
      </x:c>
    </x:row>
    <x:row r="239" ht="15.75" customHeight="1">
      <x:c r="A239" s="70" t="n">
        <x:v>15</x:v>
      </x:c>
      <x:c r="B239" s="54" t="str">
        <x:v>UP015_20240702_210016_R766</x:v>
      </x:c>
      <x:c r="C239" s="88" t="n">
        <x:v>4</x:v>
      </x:c>
      <x:c r="D239" s="54" t="str">
        <x:v>石碶-雅渡</x:v>
      </x:c>
      <x:c r="E239" s="88" t="n">
        <x:v>14</x:v>
      </x:c>
      <x:c r="F239" s="88" t="n">
        <x:v>769</x:v>
      </x:c>
      <x:c r="G239" s="54" t="str">
        <x:v>2024-07-02 21:08:08</x:v>
      </x:c>
      <x:c r="H239" s="54" t="str">
        <x:v>2024-07-02 21:09:33</x:v>
      </x:c>
      <x:c r="I239" s="54" t="str">
        <x:v>traceability-cache</x:v>
      </x:c>
      <x:c r="J239" s="54" t="str">
        <x:v>cache</x:v>
      </x:c>
      <x:c r="K239" s="88" t="n">
        <x:v>1691</x:v>
      </x:c>
      <x:c r="L239" s="60" t="n">
        <x:v>84.5</x:v>
      </x:c>
      <x:c r="M239" s="60" t="n">
        <x:v>0.8272634722222209</x:v>
      </x:c>
      <x:c r="N239" s="60" t="n">
        <x:v>215.44</x:v>
      </x:c>
      <x:c r="O239" s="60" t="n">
        <x:v>12.000739565833332</x:v>
      </x:c>
      <x:c r="P239" s="60" t="n">
        <x:v>12.116816649386122</x:v>
      </x:c>
      <x:c r="Q239" s="60" t="n">
        <x:v>0.1160770835527891</x:v>
      </x:c>
      <x:c r="R239" s="63" t="n">
        <x:v>0.967249417554782</x:v>
      </x:c>
    </x:row>
    <x:row r="240" ht="15.75" customHeight="1">
      <x:c r="A240" s="70" t="n">
        <x:v>15</x:v>
      </x:c>
      <x:c r="B240" s="54" t="str">
        <x:v>UP015_20240702_210016_R766</x:v>
      </x:c>
      <x:c r="C240" s="88" t="n">
        <x:v>5</x:v>
      </x:c>
      <x:c r="D240" s="54" t="str">
        <x:v>雅渡-庙堰</x:v>
      </x:c>
      <x:c r="E240" s="88" t="n">
        <x:v>14</x:v>
      </x:c>
      <x:c r="F240" s="88" t="n">
        <x:v>770</x:v>
      </x:c>
      <x:c r="G240" s="54" t="str">
        <x:v>2024-07-02 21:10:03</x:v>
      </x:c>
      <x:c r="H240" s="54" t="str">
        <x:v>2024-07-02 21:12:13</x:v>
      </x:c>
      <x:c r="I240" s="54" t="str">
        <x:v>traceability-cache</x:v>
      </x:c>
      <x:c r="J240" s="54" t="str">
        <x:v>cache</x:v>
      </x:c>
      <x:c r="K240" s="88" t="n">
        <x:v>2614</x:v>
      </x:c>
      <x:c r="L240" s="60" t="n">
        <x:v>130.65</x:v>
      </x:c>
      <x:c r="M240" s="60" t="n">
        <x:v>1.860754444444445</x:v>
      </x:c>
      <x:c r="N240" s="60" t="n">
        <x:v>215.44</x:v>
      </x:c>
      <x:c r="O240" s="60" t="n">
        <x:v>21.19072829951389</x:v>
      </x:c>
      <x:c r="P240" s="60" t="n">
        <x:v>20.556735765619237</x:v>
      </x:c>
      <x:c r="Q240" s="60" t="n">
        <x:v>-0.6339925338946559</x:v>
      </x:c>
      <x:c r="R240" s="63" t="n">
        <x:v>-2.9918392843024635</x:v>
      </x:c>
    </x:row>
    <x:row r="241" ht="15.75" customHeight="1">
      <x:c r="A241" s="70" t="n">
        <x:v>15</x:v>
      </x:c>
      <x:c r="B241" s="54" t="str">
        <x:v>UP015_20240702_210016_R766</x:v>
      </x:c>
      <x:c r="C241" s="88" t="n">
        <x:v>6</x:v>
      </x:c>
      <x:c r="D241" s="54" t="str">
        <x:v>庙堰-钟公庙</x:v>
      </x:c>
      <x:c r="E241" s="88" t="n">
        <x:v>14</x:v>
      </x:c>
      <x:c r="F241" s="88" t="n">
        <x:v>771</x:v>
      </x:c>
      <x:c r="G241" s="54" t="str">
        <x:v>2024-07-02 21:12:43</x:v>
      </x:c>
      <x:c r="H241" s="54" t="str">
        <x:v>2024-07-02 21:14:19</x:v>
      </x:c>
      <x:c r="I241" s="54" t="str">
        <x:v>traceability-cache</x:v>
      </x:c>
      <x:c r="J241" s="54" t="str">
        <x:v>cache</x:v>
      </x:c>
      <x:c r="K241" s="88" t="n">
        <x:v>1905</x:v>
      </x:c>
      <x:c r="L241" s="60" t="n">
        <x:v>95.2</x:v>
      </x:c>
      <x:c r="M241" s="60" t="n">
        <x:v>1.087542916666666</x:v>
      </x:c>
      <x:c r="N241" s="60" t="n">
        <x:v>215.64</x:v>
      </x:c>
      <x:c r="O241" s="60" t="n">
        <x:v>13.0677684413125</x:v>
      </x:c>
      <x:c r="P241" s="60" t="n">
        <x:v>13.135240541805766</x:v>
      </x:c>
      <x:c r="Q241" s="60" t="n">
        <x:v>0.0674721004932653</x:v>
      </x:c>
      <x:c r="R241" s="63" t="n">
        <x:v>0.5163245797955734</x:v>
      </x:c>
    </x:row>
    <x:row r="242" ht="15.75" customHeight="1">
      <x:c r="A242" s="70" t="n">
        <x:v>15</x:v>
      </x:c>
      <x:c r="B242" s="54" t="str">
        <x:v>UP015_20240702_210016_R766</x:v>
      </x:c>
      <x:c r="C242" s="88" t="n">
        <x:v>7</x:v>
      </x:c>
      <x:c r="D242" s="54" t="str">
        <x:v>钟公庙-鄞州区政府</x:v>
      </x:c>
      <x:c r="E242" s="88" t="n">
        <x:v>14</x:v>
      </x:c>
      <x:c r="F242" s="88" t="n">
        <x:v>772</x:v>
      </x:c>
      <x:c r="G242" s="54" t="str">
        <x:v>2024-07-02 21:14:49</x:v>
      </x:c>
      <x:c r="H242" s="54" t="str">
        <x:v>2024-07-02 21:16:19</x:v>
      </x:c>
      <x:c r="I242" s="54" t="str">
        <x:v>traceability-cache</x:v>
      </x:c>
      <x:c r="J242" s="54" t="str">
        <x:v>cache</x:v>
      </x:c>
      <x:c r="K242" s="88" t="n">
        <x:v>1820</x:v>
      </x:c>
      <x:c r="L242" s="60" t="n">
        <x:v>90.95</x:v>
      </x:c>
      <x:c r="M242" s="60" t="n">
        <x:v>0.984326944444444</x:v>
      </x:c>
      <x:c r="N242" s="60" t="n">
        <x:v>215.54</x:v>
      </x:c>
      <x:c r="O242" s="60" t="n">
        <x:v>10.193112476444446</x:v>
      </x:c>
      <x:c r="P242" s="60" t="n">
        <x:v>10.92383890290408</x:v>
      </x:c>
      <x:c r="Q242" s="60" t="n">
        <x:v>0.7307264264596343</x:v>
      </x:c>
      <x:c r="R242" s="63" t="n">
        <x:v>7.168825303834238</x:v>
      </x:c>
    </x:row>
    <x:row r="243" ht="15.75" customHeight="1">
      <x:c r="A243" s="70" t="n">
        <x:v>15</x:v>
      </x:c>
      <x:c r="B243" s="54" t="str">
        <x:v>UP015_20240702_210016_R766</x:v>
      </x:c>
      <x:c r="C243" s="88" t="n">
        <x:v>8</x:v>
      </x:c>
      <x:c r="D243" s="54" t="str">
        <x:v>鄞州区政府-钱湖南路</x:v>
      </x:c>
      <x:c r="E243" s="88" t="n">
        <x:v>14</x:v>
      </x:c>
      <x:c r="F243" s="88" t="n">
        <x:v>773</x:v>
      </x:c>
      <x:c r="G243" s="54" t="str">
        <x:v>2024-07-02 21:16:59</x:v>
      </x:c>
      <x:c r="H243" s="54" t="str">
        <x:v>2024-07-02 21:19:10</x:v>
      </x:c>
      <x:c r="I243" s="54" t="str">
        <x:v>traceability-cache</x:v>
      </x:c>
      <x:c r="J243" s="54" t="str">
        <x:v>cache</x:v>
      </x:c>
      <x:c r="K243" s="88" t="n">
        <x:v>2618</x:v>
      </x:c>
      <x:c r="L243" s="60" t="n">
        <x:v>130.85</x:v>
      </x:c>
      <x:c r="M243" s="60" t="n">
        <x:v>1.812155555555553</x:v>
      </x:c>
      <x:c r="N243" s="60" t="n">
        <x:v>215.84</x:v>
      </x:c>
      <x:c r="O243" s="60" t="n">
        <x:v>16.11845560536806</x:v>
      </x:c>
      <x:c r="P243" s="60" t="n">
        <x:v>15.157580686100657</x:v>
      </x:c>
      <x:c r="Q243" s="60" t="n">
        <x:v>-0.9608749192674004</x:v>
      </x:c>
      <x:c r="R243" s="63" t="n">
        <x:v>-5.9613336587122685</x:v>
      </x:c>
    </x:row>
    <x:row r="244" ht="15.75" customHeight="1">
      <x:c r="A244" s="70" t="n">
        <x:v>15</x:v>
      </x:c>
      <x:c r="B244" s="54" t="str">
        <x:v>UP015_20240702_210016_R766</x:v>
      </x:c>
      <x:c r="C244" s="88" t="n">
        <x:v>9</x:v>
      </x:c>
      <x:c r="D244" s="54" t="str">
        <x:v>钱湖南路-南高教园区</x:v>
      </x:c>
      <x:c r="E244" s="88" t="n">
        <x:v>14</x:v>
      </x:c>
      <x:c r="F244" s="88" t="n">
        <x:v>774</x:v>
      </x:c>
      <x:c r="G244" s="54" t="str">
        <x:v>2024-07-02 21:19:40</x:v>
      </x:c>
      <x:c r="H244" s="54" t="str">
        <x:v>2024-07-02 21:21:20</x:v>
      </x:c>
      <x:c r="I244" s="54" t="str">
        <x:v>traceability-cache</x:v>
      </x:c>
      <x:c r="J244" s="54" t="str">
        <x:v>cache</x:v>
      </x:c>
      <x:c r="K244" s="88" t="n">
        <x:v>2016</x:v>
      </x:c>
      <x:c r="L244" s="60" t="n">
        <x:v>100.75</x:v>
      </x:c>
      <x:c r="M244" s="60" t="n">
        <x:v>1.169395694444443</x:v>
      </x:c>
      <x:c r="N244" s="60" t="n">
        <x:v>215.94</x:v>
      </x:c>
      <x:c r="O244" s="60" t="n">
        <x:v>13.634574644194446</x:v>
      </x:c>
      <x:c r="P244" s="60" t="n">
        <x:v>13.654736897162314</x:v>
      </x:c>
      <x:c r="Q244" s="60" t="n">
        <x:v>0.0201622529678679</x:v>
      </x:c>
      <x:c r="R244" s="63" t="n">
        <x:v>0.1478759220145748</x:v>
      </x:c>
    </x:row>
    <x:row r="245" ht="15.75" customHeight="1">
      <x:c r="A245" s="70" t="n">
        <x:v>15</x:v>
      </x:c>
      <x:c r="B245" s="54" t="str">
        <x:v>UP015_20240702_210016_R766</x:v>
      </x:c>
      <x:c r="C245" s="88" t="n">
        <x:v>10</x:v>
      </x:c>
      <x:c r="D245" s="54" t="str">
        <x:v>南高教园区-下应路</x:v>
      </x:c>
      <x:c r="E245" s="88" t="n">
        <x:v>14</x:v>
      </x:c>
      <x:c r="F245" s="88" t="n">
        <x:v>775</x:v>
      </x:c>
      <x:c r="G245" s="54" t="str">
        <x:v>2024-07-02 21:21:55</x:v>
      </x:c>
      <x:c r="H245" s="54" t="str">
        <x:v>2024-07-02 21:23:50</x:v>
      </x:c>
      <x:c r="I245" s="54" t="str">
        <x:v>traceability-cache</x:v>
      </x:c>
      <x:c r="J245" s="54" t="str">
        <x:v>cache</x:v>
      </x:c>
      <x:c r="K245" s="88" t="n">
        <x:v>2312</x:v>
      </x:c>
      <x:c r="L245" s="60" t="n">
        <x:v>115.55</x:v>
      </x:c>
      <x:c r="M245" s="60" t="n">
        <x:v>1.452079305555552</x:v>
      </x:c>
      <x:c r="N245" s="60" t="n">
        <x:v>215.94</x:v>
      </x:c>
      <x:c r="O245" s="60" t="n">
        <x:v>19.13926835432639</x:v>
      </x:c>
      <x:c r="P245" s="60" t="n">
        <x:v>18.31765864227544</x:v>
      </x:c>
      <x:c r="Q245" s="60" t="n">
        <x:v>-0.8216097120509512</x:v>
      </x:c>
      <x:c r="R245" s="63" t="n">
        <x:v>-4.292795820824719</x:v>
      </x:c>
    </x:row>
    <x:row r="246" ht="15.75" customHeight="1">
      <x:c r="A246" s="70" t="n">
        <x:v>15</x:v>
      </x:c>
      <x:c r="B246" s="54" t="str">
        <x:v>UP015_20240702_210016_R766</x:v>
      </x:c>
      <x:c r="C246" s="88" t="n">
        <x:v>11</x:v>
      </x:c>
      <x:c r="D246" s="54" t="str">
        <x:v>下应路-大洋江</x:v>
      </x:c>
      <x:c r="E246" s="88" t="n">
        <x:v>14</x:v>
      </x:c>
      <x:c r="F246" s="88" t="n">
        <x:v>776</x:v>
      </x:c>
      <x:c r="G246" s="54" t="str">
        <x:v>2024-07-02 21:24:20</x:v>
      </x:c>
      <x:c r="H246" s="54" t="str">
        <x:v>2024-07-02 21:26:05</x:v>
      </x:c>
      <x:c r="I246" s="54" t="str">
        <x:v>traceability-cache</x:v>
      </x:c>
      <x:c r="J246" s="54" t="str">
        <x:v>cache</x:v>
      </x:c>
      <x:c r="K246" s="88" t="n">
        <x:v>2109</x:v>
      </x:c>
      <x:c r="L246" s="60" t="n">
        <x:v>105.4</x:v>
      </x:c>
      <x:c r="M246" s="60" t="n">
        <x:v>1.213645277777778</x:v>
      </x:c>
      <x:c r="N246" s="60" t="n">
        <x:v>215.84</x:v>
      </x:c>
      <x:c r="O246" s="60" t="n">
        <x:v>11.311606382458336</x:v>
      </x:c>
      <x:c r="P246" s="60" t="n">
        <x:v>10.878858884660032</x:v>
      </x:c>
      <x:c r="Q246" s="60" t="n">
        <x:v>-0.432747497798302</x:v>
      </x:c>
      <x:c r="R246" s="63" t="n">
        <x:v>-3.8256944519338334</x:v>
      </x:c>
    </x:row>
    <x:row r="247" ht="15.75" customHeight="1">
      <x:c r="A247" s="70" t="n">
        <x:v>15</x:v>
      </x:c>
      <x:c r="B247" s="54" t="str">
        <x:v>UP015_20240702_210016_R766</x:v>
      </x:c>
      <x:c r="C247" s="88" t="n">
        <x:v>12</x:v>
      </x:c>
      <x:c r="D247" s="54" t="str">
        <x:v>大洋江-泗港</x:v>
      </x:c>
      <x:c r="E247" s="88" t="n">
        <x:v>14</x:v>
      </x:c>
      <x:c r="F247" s="88" t="n">
        <x:v>777</x:v>
      </x:c>
      <x:c r="G247" s="54" t="str">
        <x:v>2024-07-02 21:26:35</x:v>
      </x:c>
      <x:c r="H247" s="54" t="str">
        <x:v>2024-07-02 21:28:07</x:v>
      </x:c>
      <x:c r="I247" s="54" t="str">
        <x:v>traceability-cache</x:v>
      </x:c>
      <x:c r="J247" s="54" t="str">
        <x:v>cache</x:v>
      </x:c>
      <x:c r="K247" s="88" t="n">
        <x:v>1836</x:v>
      </x:c>
      <x:c r="L247" s="60" t="n">
        <x:v>91.75</x:v>
      </x:c>
      <x:c r="M247" s="60" t="n">
        <x:v>0.9584323611111089</x:v>
      </x:c>
      <x:c r="N247" s="60" t="n">
        <x:v>215.54</x:v>
      </x:c>
      <x:c r="O247" s="60" t="n">
        <x:v>11.375665143013888</x:v>
      </x:c>
      <x:c r="P247" s="60" t="n">
        <x:v>11.500188912664722</x:v>
      </x:c>
      <x:c r="Q247" s="60" t="n">
        <x:v>0.1245237696508338</x:v>
      </x:c>
      <x:c r="R247" s="63" t="n">
        <x:v>1.094650449756842</x:v>
      </x:c>
    </x:row>
    <x:row r="248" ht="15.75" customHeight="1">
      <x:c r="A248" s="70" t="n">
        <x:v>15</x:v>
      </x:c>
      <x:c r="B248" s="54" t="str">
        <x:v>UP015_20240702_210016_R766</x:v>
      </x:c>
      <x:c r="C248" s="88" t="n">
        <x:v>13</x:v>
      </x:c>
      <x:c r="D248" s="54" t="str">
        <x:v>泗港-曹隘</x:v>
      </x:c>
      <x:c r="E248" s="88" t="n">
        <x:v>14</x:v>
      </x:c>
      <x:c r="F248" s="88" t="n">
        <x:v>778</x:v>
      </x:c>
      <x:c r="G248" s="54" t="str">
        <x:v>2024-07-02 21:28:36</x:v>
      </x:c>
      <x:c r="H248" s="54" t="str">
        <x:v>2024-07-02 21:30:51</x:v>
      </x:c>
      <x:c r="I248" s="54" t="str">
        <x:v>traceability-cache</x:v>
      </x:c>
      <x:c r="J248" s="54" t="str">
        <x:v>cache</x:v>
      </x:c>
      <x:c r="K248" s="88" t="n">
        <x:v>2697</x:v>
      </x:c>
      <x:c r="L248" s="60" t="n">
        <x:v>134.8</x:v>
      </x:c>
      <x:c r="M248" s="60" t="n">
        <x:v>1.7992651388888918</x:v>
      </x:c>
      <x:c r="N248" s="60" t="n">
        <x:v>215.64</x:v>
      </x:c>
      <x:c r="O248" s="60" t="n">
        <x:v>22.444781541375</x:v>
      </x:c>
      <x:c r="P248" s="60" t="n">
        <x:v>22.878178988089356</x:v>
      </x:c>
      <x:c r="Q248" s="60" t="n">
        <x:v>0.4333974467143525</x:v>
      </x:c>
      <x:c r="R248" s="63" t="n">
        <x:v>1.9309497217222724</x:v>
      </x:c>
    </x:row>
    <x:row r="249" ht="15.75" customHeight="1">
      <x:c r="A249" s="70" t="n">
        <x:v>15</x:v>
      </x:c>
      <x:c r="B249" s="54" t="str">
        <x:v>UP015_20240702_210016_R766</x:v>
      </x:c>
      <x:c r="C249" s="88" t="n">
        <x:v>14</x:v>
      </x:c>
      <x:c r="D249" s="54" t="str">
        <x:v>曹隘-柳隘</x:v>
      </x:c>
      <x:c r="E249" s="88" t="n">
        <x:v>14</x:v>
      </x:c>
      <x:c r="F249" s="88" t="n">
        <x:v>779</x:v>
      </x:c>
      <x:c r="G249" s="54" t="str">
        <x:v>2024-07-02 21:31:22</x:v>
      </x:c>
      <x:c r="H249" s="54" t="str">
        <x:v>2024-07-02 21:33:08</x:v>
      </x:c>
      <x:c r="I249" s="54" t="str">
        <x:v>traceability-cache</x:v>
      </x:c>
      <x:c r="J249" s="54" t="str">
        <x:v>cache</x:v>
      </x:c>
      <x:c r="K249" s="88" t="n">
        <x:v>2125</x:v>
      </x:c>
      <x:c r="L249" s="60" t="n">
        <x:v>106.2</x:v>
      </x:c>
      <x:c r="M249" s="60" t="n">
        <x:v>1.308300000000003</x:v>
      </x:c>
      <x:c r="N249" s="60" t="n">
        <x:v>215.34</x:v>
      </x:c>
      <x:c r="O249" s="60" t="n">
        <x:v>20.8482217265625</x:v>
      </x:c>
      <x:c r="P249" s="60" t="n">
        <x:v>21.80503428272812</x:v>
      </x:c>
      <x:c r="Q249" s="60" t="n">
        <x:v>0.956812556165616</x:v>
      </x:c>
      <x:c r="R249" s="63" t="n">
        <x:v>4.589420472953583</x:v>
      </x:c>
    </x:row>
    <x:row r="250" ht="15.75" customHeight="1">
      <x:c r="A250" s="70" t="n">
        <x:v>15</x:v>
      </x:c>
      <x:c r="B250" s="54" t="str">
        <x:v>UP015_20240702_210016_R766</x:v>
      </x:c>
      <x:c r="C250" s="88" t="n">
        <x:v>15</x:v>
      </x:c>
      <x:c r="D250" s="54" t="str">
        <x:v>柳隘-海晏北路</x:v>
      </x:c>
      <x:c r="E250" s="88" t="n">
        <x:v>14</x:v>
      </x:c>
      <x:c r="F250" s="88" t="n">
        <x:v>780</x:v>
      </x:c>
      <x:c r="G250" s="54" t="str">
        <x:v>2024-07-02 21:33:38</x:v>
      </x:c>
      <x:c r="H250" s="54" t="str">
        <x:v>2024-07-02 21:35:08</x:v>
      </x:c>
      <x:c r="I250" s="54" t="str">
        <x:v>traceability-cache</x:v>
      </x:c>
      <x:c r="J250" s="54" t="str">
        <x:v>cache</x:v>
      </x:c>
      <x:c r="K250" s="88" t="n">
        <x:v>1809</x:v>
      </x:c>
      <x:c r="L250" s="60" t="n">
        <x:v>90.4</x:v>
      </x:c>
      <x:c r="M250" s="60" t="n">
        <x:v>0.981018055555556</x:v>
      </x:c>
      <x:c r="N250" s="60" t="n">
        <x:v>215.24</x:v>
      </x:c>
      <x:c r="O250" s="60" t="n">
        <x:v>11.061811027291666</x:v>
      </x:c>
      <x:c r="P250" s="60" t="n">
        <x:v>11.233002589504029</x:v>
      </x:c>
      <x:c r="Q250" s="60" t="n">
        <x:v>0.1711915622123633</x:v>
      </x:c>
      <x:c r="R250" s="63" t="n">
        <x:v>1.5475907316622934</x:v>
      </x:c>
    </x:row>
    <x:row r="251" ht="15.75" customHeight="1">
      <x:c r="A251" s="70" t="n">
        <x:v>15</x:v>
      </x:c>
      <x:c r="B251" s="54" t="str">
        <x:v>UP015_20240702_210016_R766</x:v>
      </x:c>
      <x:c r="C251" s="88" t="n">
        <x:v>16</x:v>
      </x:c>
      <x:c r="D251" s="54" t="str">
        <x:v>海晏北路-民安东路</x:v>
      </x:c>
      <x:c r="E251" s="88" t="n">
        <x:v>14</x:v>
      </x:c>
      <x:c r="F251" s="88" t="n">
        <x:v>781</x:v>
      </x:c>
      <x:c r="G251" s="54" t="str">
        <x:v>2024-07-02 21:35:53</x:v>
      </x:c>
      <x:c r="H251" s="54" t="str">
        <x:v>2024-07-02 21:37:17</x:v>
      </x:c>
      <x:c r="I251" s="54" t="str">
        <x:v>traceability-cache</x:v>
      </x:c>
      <x:c r="J251" s="54" t="str">
        <x:v>cache</x:v>
      </x:c>
      <x:c r="K251" s="88" t="n">
        <x:v>1672</x:v>
      </x:c>
      <x:c r="L251" s="60" t="n">
        <x:v>83.55</x:v>
      </x:c>
      <x:c r="M251" s="60" t="n">
        <x:v>0.8649044444444409</x:v>
      </x:c>
      <x:c r="N251" s="60" t="n">
        <x:v>216.12</x:v>
      </x:c>
      <x:c r="O251" s="60" t="n">
        <x:v>15.7592509746875</x:v>
      </x:c>
      <x:c r="P251" s="60" t="n">
        <x:v>16.094308028444775</x:v>
      </x:c>
      <x:c r="Q251" s="60" t="n">
        <x:v>0.3350570537572748</x:v>
      </x:c>
      <x:c r="R251" s="63" t="n">
        <x:v>2.126097581004601</x:v>
      </x:c>
    </x:row>
    <x:row r="252" ht="15.75" customHeight="1">
      <x:c r="A252" s="70" t="n">
        <x:v>15</x:v>
      </x:c>
      <x:c r="B252" s="54" t="str">
        <x:v>UP015_20240702_210016_R766</x:v>
      </x:c>
      <x:c r="C252" s="88" t="n">
        <x:v>17</x:v>
      </x:c>
      <x:c r="D252" s="54" t="str">
        <x:v>民安东路-会展中心</x:v>
      </x:c>
      <x:c r="E252" s="88" t="n">
        <x:v>14</x:v>
      </x:c>
      <x:c r="F252" s="88" t="n">
        <x:v>782</x:v>
      </x:c>
      <x:c r="G252" s="54" t="str">
        <x:v>2024-07-02 21:37:47</x:v>
      </x:c>
      <x:c r="H252" s="54" t="str">
        <x:v>2024-07-02 21:39:04</x:v>
      </x:c>
      <x:c r="I252" s="54" t="str">
        <x:v>traceability-cache</x:v>
      </x:c>
      <x:c r="J252" s="54" t="str">
        <x:v>cache</x:v>
      </x:c>
      <x:c r="K252" s="88" t="n">
        <x:v>1542</x:v>
      </x:c>
      <x:c r="L252" s="60" t="n">
        <x:v>77.05</x:v>
      </x:c>
      <x:c r="M252" s="60" t="n">
        <x:v>0.7254809722222231</x:v>
      </x:c>
      <x:c r="N252" s="60" t="n">
        <x:v>216.52</x:v>
      </x:c>
      <x:c r="O252" s="60" t="n">
        <x:v>12.439770510347223</x:v>
      </x:c>
      <x:c r="P252" s="60" t="n">
        <x:v>12.817353351154193</x:v>
      </x:c>
      <x:c r="Q252" s="60" t="n">
        <x:v>0.3775828408069683</x:v>
      </x:c>
      <x:c r="R252" s="63" t="n">
        <x:v>3.03528783342828</x:v>
      </x:c>
    </x:row>
    <x:row r="253" ht="15.75" customHeight="1">
      <x:c r="A253" s="70" t="n">
        <x:v>15</x:v>
      </x:c>
      <x:c r="B253" s="54" t="str">
        <x:v>UP015_20240702_210016_R766</x:v>
      </x:c>
      <x:c r="C253" s="88" t="n">
        <x:v>18</x:v>
      </x:c>
      <x:c r="D253" s="54" t="str">
        <x:v>会展中心-院士路</x:v>
      </x:c>
      <x:c r="E253" s="88" t="n">
        <x:v>14</x:v>
      </x:c>
      <x:c r="F253" s="88" t="n">
        <x:v>783</x:v>
      </x:c>
      <x:c r="G253" s="54" t="str">
        <x:v>2024-07-02 21:39:34</x:v>
      </x:c>
      <x:c r="H253" s="54" t="str">
        <x:v>2024-07-02 21:41:29</x:v>
      </x:c>
      <x:c r="I253" s="54" t="str">
        <x:v>traceability-cache</x:v>
      </x:c>
      <x:c r="J253" s="54" t="str">
        <x:v>cache</x:v>
      </x:c>
      <x:c r="K253" s="88" t="n">
        <x:v>2293</x:v>
      </x:c>
      <x:c r="L253" s="60" t="n">
        <x:v>114.6</x:v>
      </x:c>
      <x:c r="M253" s="60" t="n">
        <x:v>1.552107916666671</x:v>
      </x:c>
      <x:c r="N253" s="60" t="n">
        <x:v>216.42</x:v>
      </x:c>
      <x:c r="O253" s="60" t="n">
        <x:v>14.866722402895832</x:v>
      </x:c>
      <x:c r="P253" s="60" t="n">
        <x:v>15.029898171381816</x:v>
      </x:c>
      <x:c r="Q253" s="60" t="n">
        <x:v>0.1631757684859822</x:v>
      </x:c>
      <x:c r="R253" s="63" t="n">
        <x:v>1.097590740338286</x:v>
      </x:c>
    </x:row>
    <x:row r="254" ht="15.75" customHeight="1">
      <x:c r="A254" s="70" t="n">
        <x:v>15</x:v>
      </x:c>
      <x:c r="B254" s="54" t="str">
        <x:v>UP015_20240702_210016_R766</x:v>
      </x:c>
      <x:c r="C254" s="88" t="n">
        <x:v>19</x:v>
      </x:c>
      <x:c r="D254" s="54" t="str">
        <x:v>院士路-盎孟港</x:v>
      </x:c>
      <x:c r="E254" s="88" t="n">
        <x:v>14</x:v>
      </x:c>
      <x:c r="F254" s="88" t="n">
        <x:v>784</x:v>
      </x:c>
      <x:c r="G254" s="54" t="str">
        <x:v>2024-07-02 21:41:58</x:v>
      </x:c>
      <x:c r="H254" s="54" t="str">
        <x:v>2024-07-02 21:43:28</x:v>
      </x:c>
      <x:c r="I254" s="54" t="str">
        <x:v>traceability-cache</x:v>
      </x:c>
      <x:c r="J254" s="54" t="str">
        <x:v>cache</x:v>
      </x:c>
      <x:c r="K254" s="88" t="n">
        <x:v>1798</x:v>
      </x:c>
      <x:c r="L254" s="60" t="n">
        <x:v>89.85</x:v>
      </x:c>
      <x:c r="M254" s="60" t="n">
        <x:v>0.9943287499999984</x:v>
      </x:c>
      <x:c r="N254" s="60" t="n">
        <x:v>216.02</x:v>
      </x:c>
      <x:c r="O254" s="60" t="n">
        <x:v>18.239748698826386</x:v>
      </x:c>
      <x:c r="P254" s="60" t="n">
        <x:v>18.44010377908156</x:v>
      </x:c>
      <x:c r="Q254" s="60" t="n">
        <x:v>0.2003550802551726</x:v>
      </x:c>
      <x:c r="R254" s="63" t="n">
        <x:v>1.098453073907012</x:v>
      </x:c>
    </x:row>
    <x:row r="255" ht="15.75" customHeight="1">
      <x:c r="A255" s="70" t="n">
        <x:v>15</x:v>
      </x:c>
      <x:c r="B255" s="54" t="str">
        <x:v>UP015_20240702_210016_R766</x:v>
      </x:c>
      <x:c r="C255" s="88" t="n">
        <x:v>20</x:v>
      </x:c>
      <x:c r="D255" s="54" t="str">
        <x:v>盎孟港-三官堂</x:v>
      </x:c>
      <x:c r="E255" s="88" t="n">
        <x:v>14</x:v>
      </x:c>
      <x:c r="F255" s="88" t="n">
        <x:v>785</x:v>
      </x:c>
      <x:c r="G255" s="54" t="str">
        <x:v>2024-07-02 21:43:57</x:v>
      </x:c>
      <x:c r="H255" s="54" t="str">
        <x:v>2024-07-02 21:46:17</x:v>
      </x:c>
      <x:c r="I255" s="54" t="str">
        <x:v>traceability-cache</x:v>
      </x:c>
      <x:c r="J255" s="54" t="str">
        <x:v>cache</x:v>
      </x:c>
      <x:c r="K255" s="88" t="n">
        <x:v>2791</x:v>
      </x:c>
      <x:c r="L255" s="60" t="n">
        <x:v>139.5</x:v>
      </x:c>
      <x:c r="M255" s="60" t="n">
        <x:v>1.878012777777775</x:v>
      </x:c>
      <x:c r="N255" s="60" t="n">
        <x:v>215.84</x:v>
      </x:c>
      <x:c r="O255" s="60" t="n">
        <x:v>16.64668152025</x:v>
      </x:c>
      <x:c r="P255" s="60" t="n">
        <x:v>15.681165139986994</x:v>
      </x:c>
      <x:c r="Q255" s="60" t="n">
        <x:v>-0.965516380263005</x:v>
      </x:c>
      <x:c r="R255" s="63" t="n">
        <x:v>-5.800053176295193</x:v>
      </x:c>
    </x:row>
    <x:row r="256" ht="15.75" customHeight="1">
      <x:c r="A256" s="70" t="n">
        <x:v>15</x:v>
      </x:c>
      <x:c r="B256" s="54" t="str">
        <x:v>UP015_20240702_210016_R766</x:v>
      </x:c>
      <x:c r="C256" s="88" t="n">
        <x:v>21</x:v>
      </x:c>
      <x:c r="D256" s="54" t="str">
        <x:v>三官堂-兴庄路</x:v>
      </x:c>
      <x:c r="E256" s="88" t="n">
        <x:v>14</x:v>
      </x:c>
      <x:c r="F256" s="88" t="n">
        <x:v>786</x:v>
      </x:c>
      <x:c r="G256" s="54" t="str">
        <x:v>2024-07-02 21:46:52</x:v>
      </x:c>
      <x:c r="H256" s="54" t="str">
        <x:v>2024-07-02 21:48:35</x:v>
      </x:c>
      <x:c r="I256" s="54" t="str">
        <x:v>traceability-cache</x:v>
      </x:c>
      <x:c r="J256" s="54" t="str">
        <x:v>cache</x:v>
      </x:c>
      <x:c r="K256" s="88" t="n">
        <x:v>2069</x:v>
      </x:c>
      <x:c r="L256" s="60" t="n">
        <x:v>103.4</x:v>
      </x:c>
      <x:c r="M256" s="60" t="n">
        <x:v>1.080598055555557</x:v>
      </x:c>
      <x:c r="N256" s="60" t="n">
        <x:v>215.74</x:v>
      </x:c>
      <x:c r="O256" s="60" t="n">
        <x:v>10.638535479138891</x:v>
      </x:c>
      <x:c r="P256" s="60" t="n">
        <x:v>10.586962403696637</x:v>
      </x:c>
      <x:c r="Q256" s="60" t="n">
        <x:v>-0.0515730754422547</x:v>
      </x:c>
      <x:c r="R256" s="63" t="n">
        <x:v>-0.4847760816644776</x:v>
      </x:c>
    </x:row>
    <x:row r="257" ht="15.75" customHeight="1">
      <x:c r="A257" s="70" t="n">
        <x:v>15</x:v>
      </x:c>
      <x:c r="B257" s="54" t="str">
        <x:v>UP015_20240702_210016_R766</x:v>
      </x:c>
      <x:c r="C257" s="88" t="n">
        <x:v>22</x:v>
      </x:c>
      <x:c r="D257" s="54" t="str">
        <x:v>兴庄路-兴海南路</x:v>
      </x:c>
      <x:c r="E257" s="88" t="n">
        <x:v>14</x:v>
      </x:c>
      <x:c r="F257" s="88" t="n">
        <x:v>787</x:v>
      </x:c>
      <x:c r="G257" s="54" t="str">
        <x:v>2024-07-02 21:49:06</x:v>
      </x:c>
      <x:c r="H257" s="54" t="str">
        <x:v>2024-07-02 21:50:37</x:v>
      </x:c>
      <x:c r="I257" s="54" t="str">
        <x:v>traceability-cache</x:v>
      </x:c>
      <x:c r="J257" s="54" t="str">
        <x:v>cache</x:v>
      </x:c>
      <x:c r="K257" s="88" t="n">
        <x:v>1826</x:v>
      </x:c>
      <x:c r="L257" s="60" t="n">
        <x:v>91.25</x:v>
      </x:c>
      <x:c r="M257" s="60" t="n">
        <x:v>0.9587816666666654</x:v>
      </x:c>
      <x:c r="N257" s="60" t="n">
        <x:v>215.54</x:v>
      </x:c>
      <x:c r="O257" s="60" t="n">
        <x:v>12.70228797413889</x:v>
      </x:c>
      <x:c r="P257" s="60" t="n">
        <x:v>12.7416362232396</x:v>
      </x:c>
      <x:c r="Q257" s="60" t="n">
        <x:v>0.0393482491007107</x:v>
      </x:c>
      <x:c r="R257" s="63" t="n">
        <x:v>0.3097729257974741</x:v>
      </x:c>
    </x:row>
    <x:row r="258" ht="15.75" customHeight="1">
      <x:c r="A258" s="70" t="n">
        <x:v>15</x:v>
      </x:c>
      <x:c r="B258" s="54" t="str">
        <x:v>UP015_20240702_210016_R766</x:v>
      </x:c>
      <x:c r="C258" s="88" t="n">
        <x:v>23</x:v>
      </x:c>
      <x:c r="D258" s="54" t="str">
        <x:v>兴海南路-梅堰</x:v>
      </x:c>
      <x:c r="E258" s="88" t="n">
        <x:v>14</x:v>
      </x:c>
      <x:c r="F258" s="88" t="n">
        <x:v>788</x:v>
      </x:c>
      <x:c r="G258" s="54" t="str">
        <x:v>2024-07-02 21:51:07</x:v>
      </x:c>
      <x:c r="H258" s="54" t="str">
        <x:v>2024-07-02 21:52:28</x:v>
      </x:c>
      <x:c r="I258" s="54" t="str">
        <x:v>traceability-cache</x:v>
      </x:c>
      <x:c r="J258" s="54" t="str">
        <x:v>cache</x:v>
      </x:c>
      <x:c r="K258" s="88" t="n">
        <x:v>1633</x:v>
      </x:c>
      <x:c r="L258" s="60" t="n">
        <x:v>81.6</x:v>
      </x:c>
      <x:c r="M258" s="60" t="n">
        <x:v>0.8337679166666667</x:v>
      </x:c>
      <x:c r="N258" s="60" t="n">
        <x:v>215.54</x:v>
      </x:c>
      <x:c r="O258" s="60" t="n">
        <x:v>12.657196739666666</x:v>
      </x:c>
      <x:c r="P258" s="60" t="n">
        <x:v>12.828963503797535</x:v>
      </x:c>
      <x:c r="Q258" s="60" t="n">
        <x:v>0.1717667641308689</x:v>
      </x:c>
      <x:c r="R258" s="63" t="n">
        <x:v>1.357067980088872</x:v>
      </x:c>
    </x:row>
    <x:row r="259" ht="15.75" customHeight="1">
      <x:c r="A259" s="70" t="n">
        <x:v>15</x:v>
      </x:c>
      <x:c r="B259" s="54" t="str">
        <x:v>UP015_20240702_210016_R766</x:v>
      </x:c>
      <x:c r="C259" s="88" t="n">
        <x:v>24</x:v>
      </x:c>
      <x:c r="D259" s="54" t="str">
        <x:v>梅堰-永茂路</x:v>
      </x:c>
      <x:c r="E259" s="88" t="n">
        <x:v>9</x:v>
      </x:c>
      <x:c r="F259" s="88" t="n">
        <x:v>789</x:v>
      </x:c>
      <x:c r="G259" s="54" t="str">
        <x:v>2024-07-02 21:53:04</x:v>
      </x:c>
      <x:c r="H259" s="54" t="str">
        <x:v>2024-07-02 21:58:33</x:v>
      </x:c>
      <x:c r="I259" s="54" t="str">
        <x:v>traceability-cache</x:v>
      </x:c>
      <x:c r="J259" s="54" t="str">
        <x:v>cache</x:v>
      </x:c>
      <x:c r="K259" s="88" t="n">
        <x:v>6583</x:v>
      </x:c>
      <x:c r="L259" s="60" t="n">
        <x:v>329.1</x:v>
      </x:c>
      <x:c r="M259" s="60" t="n">
        <x:v>3.676185555555573</x:v>
      </x:c>
      <x:c r="N259" s="60" t="n">
        <x:v>215.34</x:v>
      </x:c>
      <x:c r="O259" s="60" t="n">
        <x:v>26.19401343684028</x:v>
      </x:c>
      <x:c r="P259" s="60" t="n">
        <x:v>25.63757780613427</x:v>
      </x:c>
      <x:c r="Q259" s="60" t="n">
        <x:v>-0.556435630706008</x:v>
      </x:c>
      <x:c r="R259" s="63" t="n">
        <x:v>-2.124285505341519</x:v>
      </x:c>
    </x:row>
    <x:row r="260" ht="15.75" customHeight="1">
      <x:c r="A260" s="70" t="n">
        <x:v>15</x:v>
      </x:c>
      <x:c r="B260" s="54" t="str">
        <x:v>UP015_20240702_210016_R766</x:v>
      </x:c>
      <x:c r="C260" s="88" t="n">
        <x:v>25</x:v>
      </x:c>
      <x:c r="D260" s="54" t="str">
        <x:v>永茂路-镇海大道</x:v>
      </x:c>
      <x:c r="E260" s="88" t="n">
        <x:v>14</x:v>
      </x:c>
      <x:c r="F260" s="88" t="n">
        <x:v>790</x:v>
      </x:c>
      <x:c r="G260" s="54" t="str">
        <x:v>2024-07-02 21:59:01</x:v>
      </x:c>
      <x:c r="H260" s="54" t="str">
        <x:v>2024-07-02 22:01:23</x:v>
      </x:c>
      <x:c r="I260" s="54" t="str">
        <x:v>traceability-cache</x:v>
      </x:c>
      <x:c r="J260" s="54" t="str">
        <x:v>cache</x:v>
      </x:c>
      <x:c r="K260" s="88" t="n">
        <x:v>2835</x:v>
      </x:c>
      <x:c r="L260" s="60" t="n">
        <x:v>141.7</x:v>
      </x:c>
      <x:c r="M260" s="60" t="n">
        <x:v>2.132735555555559</x:v>
      </x:c>
      <x:c r="N260" s="60" t="n">
        <x:v>215.24</x:v>
      </x:c>
      <x:c r="O260" s="60" t="n">
        <x:v>17.90662575213889</x:v>
      </x:c>
      <x:c r="P260" s="60" t="n">
        <x:v>17.308319002414017</x:v>
      </x:c>
      <x:c r="Q260" s="60" t="n">
        <x:v>-0.598306749724874</x:v>
      </x:c>
      <x:c r="R260" s="63" t="n">
        <x:v>-3.3412590289569666</x:v>
      </x:c>
    </x:row>
    <x:row r="261" ht="15.75" customHeight="1">
      <x:c r="A261" s="70" t="n">
        <x:v>15</x:v>
      </x:c>
      <x:c r="B261" s="54" t="str">
        <x:v>UP015_20240702_210016_R766</x:v>
      </x:c>
      <x:c r="C261" s="88" t="n">
        <x:v>26</x:v>
      </x:c>
      <x:c r="D261" s="54" t="str">
        <x:v>镇海大道-骆驼桥</x:v>
      </x:c>
      <x:c r="E261" s="88" t="n">
        <x:v>14</x:v>
      </x:c>
      <x:c r="F261" s="88" t="n">
        <x:v>791</x:v>
      </x:c>
      <x:c r="G261" s="54" t="str">
        <x:v>2024-07-02 22:01:51</x:v>
      </x:c>
      <x:c r="H261" s="54" t="str">
        <x:v>2024-07-02 22:03:47</x:v>
      </x:c>
      <x:c r="I261" s="54" t="str">
        <x:v>traceability-cache</x:v>
      </x:c>
      <x:c r="J261" s="54" t="str">
        <x:v>cache</x:v>
      </x:c>
      <x:c r="K261" s="88" t="n">
        <x:v>2328</x:v>
      </x:c>
      <x:c r="L261" s="60" t="n">
        <x:v>116.35</x:v>
      </x:c>
      <x:c r="M261" s="60" t="n">
        <x:v>1.597185555555563</x:v>
      </x:c>
      <x:c r="N261" s="60" t="n">
        <x:v>215.24</x:v>
      </x:c>
      <x:c r="O261" s="60" t="n">
        <x:v>20.49709938667361</x:v>
      </x:c>
      <x:c r="P261" s="60" t="n">
        <x:v>18.822871280743325</x:v>
      </x:c>
      <x:c r="Q261" s="60" t="n">
        <x:v>-1.674228105930284</x:v>
      </x:c>
      <x:c r="R261" s="63" t="n">
        <x:v>-8.168122105212603</x:v>
      </x:c>
    </x:row>
    <x:row r="262" ht="15.75" customHeight="1">
      <x:c r="A262" s="70" t="n">
        <x:v>42</x:v>
      </x:c>
      <x:c r="B262" s="54" t="str">
        <x:v>UP042_20240708_073251_R2252</x:v>
      </x:c>
      <x:c r="C262" s="88" t="n">
        <x:v>1</x:v>
      </x:c>
      <x:c r="D262" s="54" t="str">
        <x:v>布政-张家潭</x:v>
      </x:c>
      <x:c r="E262" s="88" t="n">
        <x:v>41</x:v>
      </x:c>
      <x:c r="F262" s="88" t="n">
        <x:v>2252</x:v>
      </x:c>
      <x:c r="G262" s="54" t="str">
        <x:v>2024-07-08 07:32:51</x:v>
      </x:c>
      <x:c r="H262" s="54" t="str">
        <x:v>2024-07-08 07:34:48</x:v>
      </x:c>
      <x:c r="I262" s="54" t="str">
        <x:v>traceability-cache</x:v>
      </x:c>
      <x:c r="J262" s="54" t="str">
        <x:v>cache</x:v>
      </x:c>
      <x:c r="K262" s="88" t="n">
        <x:v>2337</x:v>
      </x:c>
      <x:c r="L262" s="60" t="n">
        <x:v>116.8</x:v>
      </x:c>
      <x:c r="M262" s="60" t="n">
        <x:v>1.450641666666667</x:v>
      </x:c>
      <x:c r="N262" s="60" t="n">
        <x:v>215.24</x:v>
      </x:c>
      <x:c r="O262" s="60" t="n">
        <x:v>13.470934845312502</x:v>
      </x:c>
      <x:c r="P262" s="60" t="n">
        <x:v>13.732166941369622</x:v>
      </x:c>
      <x:c r="Q262" s="60" t="n">
        <x:v>0.2612320960571196</x:v>
      </x:c>
      <x:c r="R262" s="63" t="n">
        <x:v>1.9392276709587155</x:v>
      </x:c>
    </x:row>
    <x:row r="263" ht="15.75" customHeight="1">
      <x:c r="A263" s="70" t="n">
        <x:v>42</x:v>
      </x:c>
      <x:c r="B263" s="54" t="str">
        <x:v>UP042_20240708_073251_R2252</x:v>
      </x:c>
      <x:c r="C263" s="88" t="n">
        <x:v>2</x:v>
      </x:c>
      <x:c r="D263" s="54" t="str">
        <x:v>张家潭-同德路</x:v>
      </x:c>
      <x:c r="E263" s="88" t="n">
        <x:v>41</x:v>
      </x:c>
      <x:c r="F263" s="88" t="n">
        <x:v>2253</x:v>
      </x:c>
      <x:c r="G263" s="54" t="str">
        <x:v>2024-07-08 07:35:18</x:v>
      </x:c>
      <x:c r="H263" s="54" t="str">
        <x:v>2024-07-08 07:37:48</x:v>
      </x:c>
      <x:c r="I263" s="54" t="str">
        <x:v>traceability-cache+mass</x:v>
      </x:c>
      <x:c r="J263" s="54" t="str">
        <x:v>cache+mass</x:v>
      </x:c>
      <x:c r="K263" s="88" t="n">
        <x:v>3017</x:v>
      </x:c>
      <x:c r="L263" s="60" t="n">
        <x:v>150.8</x:v>
      </x:c>
      <x:c r="M263" s="60" t="n">
        <x:v>2.053638750000007</x:v>
      </x:c>
      <x:c r="N263" s="60" t="n">
        <x:v>215.94</x:v>
      </x:c>
      <x:c r="O263" s="60" t="n">
        <x:v>17.564428082777777</x:v>
      </x:c>
      <x:c r="P263" s="60" t="n">
        <x:v>17.121040448618707</x:v>
      </x:c>
      <x:c r="Q263" s="60" t="n">
        <x:v>-0.4433876341590694</x:v>
      </x:c>
      <x:c r="R263" s="63" t="n">
        <x:v>-2.524349964994412</x:v>
      </x:c>
    </x:row>
    <x:row r="264" ht="15.75" customHeight="1">
      <x:c r="A264" s="70" t="n">
        <x:v>42</x:v>
      </x:c>
      <x:c r="B264" s="54" t="str">
        <x:v>UP042_20240708_073251_R2252</x:v>
      </x:c>
      <x:c r="C264" s="88" t="n">
        <x:v>3</x:v>
      </x:c>
      <x:c r="D264" s="54" t="str">
        <x:v>同德路-石碶</x:v>
      </x:c>
      <x:c r="E264" s="88" t="n">
        <x:v>41</x:v>
      </x:c>
      <x:c r="F264" s="88" t="n">
        <x:v>2254</x:v>
      </x:c>
      <x:c r="G264" s="54" t="str">
        <x:v>2024-07-08 07:38:18</x:v>
      </x:c>
      <x:c r="H264" s="54" t="str">
        <x:v>2024-07-08 07:40:04</x:v>
      </x:c>
      <x:c r="I264" s="54" t="str">
        <x:v>traceability-cache+mass</x:v>
      </x:c>
      <x:c r="J264" s="54" t="str">
        <x:v>cache+mass</x:v>
      </x:c>
      <x:c r="K264" s="88" t="n">
        <x:v>2124</x:v>
      </x:c>
      <x:c r="L264" s="60" t="n">
        <x:v>106.15</x:v>
      </x:c>
      <x:c r="M264" s="60" t="n">
        <x:v>1.352435972222219</x:v>
      </x:c>
      <x:c r="N264" s="60" t="n">
        <x:v>216.42</x:v>
      </x:c>
      <x:c r="O264" s="60" t="n">
        <x:v>16.328435277284722</x:v>
      </x:c>
      <x:c r="P264" s="60" t="n">
        <x:v>16.386642003141663</x:v>
      </x:c>
      <x:c r="Q264" s="60" t="n">
        <x:v>0.0582067258569404</x:v>
      </x:c>
      <x:c r="R264" s="63" t="n">
        <x:v>0.3564746092842996</x:v>
      </x:c>
    </x:row>
    <x:row r="265" ht="15.75" customHeight="1">
      <x:c r="A265" s="70" t="n">
        <x:v>42</x:v>
      </x:c>
      <x:c r="B265" s="54" t="str">
        <x:v>UP042_20240708_073251_R2252</x:v>
      </x:c>
      <x:c r="C265" s="88" t="n">
        <x:v>4</x:v>
      </x:c>
      <x:c r="D265" s="54" t="str">
        <x:v>石碶-雅渡</x:v>
      </x:c>
      <x:c r="E265" s="88" t="n">
        <x:v>41</x:v>
      </x:c>
      <x:c r="F265" s="88" t="n">
        <x:v>2255</x:v>
      </x:c>
      <x:c r="G265" s="54" t="str">
        <x:v>2024-07-08 07:40:38</x:v>
      </x:c>
      <x:c r="H265" s="54" t="str">
        <x:v>2024-07-08 07:41:57</x:v>
      </x:c>
      <x:c r="I265" s="54" t="str">
        <x:v>traceability-cache+mass</x:v>
      </x:c>
      <x:c r="J265" s="54" t="str">
        <x:v>cache+mass</x:v>
      </x:c>
      <x:c r="K265" s="88" t="n">
        <x:v>1586</x:v>
      </x:c>
      <x:c r="L265" s="60" t="n">
        <x:v>79.25</x:v>
      </x:c>
      <x:c r="M265" s="60" t="n">
        <x:v>0.8403262500000008</x:v>
      </x:c>
      <x:c r="N265" s="60" t="n">
        <x:v>220.6</x:v>
      </x:c>
      <x:c r="O265" s="60" t="n">
        <x:v>12.340667102354166</x:v>
      </x:c>
      <x:c r="P265" s="60" t="n">
        <x:v>13.395493934975809</x:v>
      </x:c>
      <x:c r="Q265" s="60" t="n">
        <x:v>1.054826832621642</x:v>
      </x:c>
      <x:c r="R265" s="63" t="n">
        <x:v>8.547567354931877</x:v>
      </x:c>
    </x:row>
    <x:row r="266" ht="15.75" customHeight="1">
      <x:c r="A266" s="70" t="n">
        <x:v>42</x:v>
      </x:c>
      <x:c r="B266" s="54" t="str">
        <x:v>UP042_20240708_073251_R2252</x:v>
      </x:c>
      <x:c r="C266" s="88" t="n">
        <x:v>5</x:v>
      </x:c>
      <x:c r="D266" s="54" t="str">
        <x:v>雅渡-庙堰</x:v>
      </x:c>
      <x:c r="E266" s="88" t="n">
        <x:v>41</x:v>
      </x:c>
      <x:c r="F266" s="88" t="n">
        <x:v>2256</x:v>
      </x:c>
      <x:c r="G266" s="54" t="str">
        <x:v>2024-07-08 07:42:26</x:v>
      </x:c>
      <x:c r="H266" s="54" t="str">
        <x:v>2024-07-08 07:44:40</x:v>
      </x:c>
      <x:c r="I266" s="54" t="str">
        <x:v>traceability-cache+mass</x:v>
      </x:c>
      <x:c r="J266" s="54" t="str">
        <x:v>cache+mass</x:v>
      </x:c>
      <x:c r="K266" s="88" t="n">
        <x:v>2675</x:v>
      </x:c>
      <x:c r="L266" s="60" t="n">
        <x:v>133.7</x:v>
      </x:c>
      <x:c r="M266" s="60" t="n">
        <x:v>1.889597500000006</x:v>
      </x:c>
      <x:c r="N266" s="60" t="n">
        <x:v>222.3</x:v>
      </x:c>
      <x:c r="O266" s="60" t="n">
        <x:v>20.805038229868057</x:v>
      </x:c>
      <x:c r="P266" s="60" t="n">
        <x:v>20.95476176916372</x:v>
      </x:c>
      <x:c r="Q266" s="60" t="n">
        <x:v>0.1497235392956608</x:v>
      </x:c>
      <x:c r="R266" s="63" t="n">
        <x:v>0.7196503925703693</x:v>
      </x:c>
    </x:row>
    <x:row r="267" ht="15.75" customHeight="1">
      <x:c r="A267" s="70" t="n">
        <x:v>42</x:v>
      </x:c>
      <x:c r="B267" s="54" t="str">
        <x:v>UP042_20240708_073251_R2252</x:v>
      </x:c>
      <x:c r="C267" s="88" t="n">
        <x:v>6</x:v>
      </x:c>
      <x:c r="D267" s="54" t="str">
        <x:v>庙堰-钟公庙</x:v>
      </x:c>
      <x:c r="E267" s="88" t="n">
        <x:v>41</x:v>
      </x:c>
      <x:c r="F267" s="88" t="n">
        <x:v>2257</x:v>
      </x:c>
      <x:c r="G267" s="54" t="str">
        <x:v>2024-07-08 07:45:09</x:v>
      </x:c>
      <x:c r="H267" s="54" t="str">
        <x:v>2024-07-08 07:46:43</x:v>
      </x:c>
      <x:c r="I267" s="54" t="str">
        <x:v>traceability-cache+mass</x:v>
      </x:c>
      <x:c r="J267" s="54" t="str">
        <x:v>cache+mass</x:v>
      </x:c>
      <x:c r="K267" s="88" t="n">
        <x:v>1890</x:v>
      </x:c>
      <x:c r="L267" s="60" t="n">
        <x:v>94.45</x:v>
      </x:c>
      <x:c r="M267" s="60" t="n">
        <x:v>1.103863472222221</x:v>
      </x:c>
      <x:c r="N267" s="60" t="n">
        <x:v>225.9</x:v>
      </x:c>
      <x:c r="O267" s="60" t="n">
        <x:v>17.132492907180556</x:v>
      </x:c>
      <x:c r="P267" s="60" t="n">
        <x:v>17.607763106866578</x:v>
      </x:c>
      <x:c r="Q267" s="60" t="n">
        <x:v>0.4752701996860232</x:v>
      </x:c>
      <x:c r="R267" s="63" t="n">
        <x:v>2.7740866566291027</x:v>
      </x:c>
    </x:row>
    <x:row r="268" ht="15.75" customHeight="1">
      <x:c r="A268" s="70" t="n">
        <x:v>42</x:v>
      </x:c>
      <x:c r="B268" s="54" t="str">
        <x:v>UP042_20240708_073251_R2252</x:v>
      </x:c>
      <x:c r="C268" s="88" t="n">
        <x:v>7</x:v>
      </x:c>
      <x:c r="D268" s="54" t="str">
        <x:v>钟公庙-鄞州区政府</x:v>
      </x:c>
      <x:c r="E268" s="88" t="n">
        <x:v>41</x:v>
      </x:c>
      <x:c r="F268" s="88" t="n">
        <x:v>2258</x:v>
      </x:c>
      <x:c r="G268" s="54" t="str">
        <x:v>2024-07-08 07:47:12</x:v>
      </x:c>
      <x:c r="H268" s="54" t="str">
        <x:v>2024-07-08 07:48:42</x:v>
      </x:c>
      <x:c r="I268" s="54" t="str">
        <x:v>traceability-cache+mass</x:v>
      </x:c>
      <x:c r="J268" s="54" t="str">
        <x:v>cache+mass</x:v>
      </x:c>
      <x:c r="K268" s="88" t="n">
        <x:v>1797</x:v>
      </x:c>
      <x:c r="L268" s="60" t="n">
        <x:v>89.8</x:v>
      </x:c>
      <x:c r="M268" s="60" t="n">
        <x:v>0.999149166666665</x:v>
      </x:c>
      <x:c r="N268" s="60" t="n">
        <x:v>228.2</x:v>
      </x:c>
      <x:c r="O268" s="60" t="n">
        <x:v>12.508217278368054</x:v>
      </x:c>
      <x:c r="P268" s="60" t="n">
        <x:v>13.457279226465936</x:v>
      </x:c>
      <x:c r="Q268" s="60" t="n">
        <x:v>0.949061948097882</x:v>
      </x:c>
      <x:c r="R268" s="63" t="n">
        <x:v>7.587507691757223</x:v>
      </x:c>
    </x:row>
    <x:row r="269" ht="15.75" customHeight="1">
      <x:c r="A269" s="70" t="n">
        <x:v>42</x:v>
      </x:c>
      <x:c r="B269" s="54" t="str">
        <x:v>UP042_20240708_073251_R2252</x:v>
      </x:c>
      <x:c r="C269" s="88" t="n">
        <x:v>8</x:v>
      </x:c>
      <x:c r="D269" s="54" t="str">
        <x:v>鄞州区政府-钱湖南路</x:v>
      </x:c>
      <x:c r="E269" s="88" t="n">
        <x:v>41</x:v>
      </x:c>
      <x:c r="F269" s="88" t="n">
        <x:v>2259</x:v>
      </x:c>
      <x:c r="G269" s="54" t="str">
        <x:v>2024-07-08 07:49:21</x:v>
      </x:c>
      <x:c r="H269" s="54" t="str">
        <x:v>2024-07-08 07:51:30</x:v>
      </x:c>
      <x:c r="I269" s="54" t="str">
        <x:v>traceability-cache+mass</x:v>
      </x:c>
      <x:c r="J269" s="54" t="str">
        <x:v>cache+mass</x:v>
      </x:c>
      <x:c r="K269" s="88" t="n">
        <x:v>2570</x:v>
      </x:c>
      <x:c r="L269" s="60" t="n">
        <x:v>128.45</x:v>
      </x:c>
      <x:c r="M269" s="60" t="n">
        <x:v>1.839784861111109</x:v>
      </x:c>
      <x:c r="N269" s="60" t="n">
        <x:v>231.4</x:v>
      </x:c>
      <x:c r="O269" s="60" t="n">
        <x:v>19.610142009736112</x:v>
      </x:c>
      <x:c r="P269" s="60" t="n">
        <x:v>19.016685369589837</x:v>
      </x:c>
      <x:c r="Q269" s="60" t="n">
        <x:v>-0.5934566401462799</x:v>
      </x:c>
      <x:c r="R269" s="63" t="n">
        <x:v>-3.026274056820386</x:v>
      </x:c>
    </x:row>
    <x:row r="270" ht="15.75" customHeight="1">
      <x:c r="A270" s="70" t="n">
        <x:v>42</x:v>
      </x:c>
      <x:c r="B270" s="54" t="str">
        <x:v>UP042_20240708_073251_R2252</x:v>
      </x:c>
      <x:c r="C270" s="88" t="n">
        <x:v>9</x:v>
      </x:c>
      <x:c r="D270" s="54" t="str">
        <x:v>钱湖南路-南高教园区</x:v>
      </x:c>
      <x:c r="E270" s="88" t="n">
        <x:v>41</x:v>
      </x:c>
      <x:c r="F270" s="88" t="n">
        <x:v>2260</x:v>
      </x:c>
      <x:c r="G270" s="54" t="str">
        <x:v>2024-07-08 07:51:59</x:v>
      </x:c>
      <x:c r="H270" s="54" t="str">
        <x:v>2024-07-08 07:53:36</x:v>
      </x:c>
      <x:c r="I270" s="54" t="str">
        <x:v>traceability-cache+mass</x:v>
      </x:c>
      <x:c r="J270" s="54" t="str">
        <x:v>cache+mass</x:v>
      </x:c>
      <x:c r="K270" s="88" t="n">
        <x:v>1942</x:v>
      </x:c>
      <x:c r="L270" s="60" t="n">
        <x:v>97.05</x:v>
      </x:c>
      <x:c r="M270" s="60" t="n">
        <x:v>1.187124305555556</x:v>
      </x:c>
      <x:c r="N270" s="60" t="n">
        <x:v>233.6</x:v>
      </x:c>
      <x:c r="O270" s="60" t="n">
        <x:v>17.206484881736113</x:v>
      </x:c>
      <x:c r="P270" s="60" t="n">
        <x:v>17.75594078073957</x:v>
      </x:c>
      <x:c r="Q270" s="60" t="n">
        <x:v>0.5494558990034603</x:v>
      </x:c>
      <x:c r="R270" s="63" t="n">
        <x:v>3.193307074512832</x:v>
      </x:c>
    </x:row>
    <x:row r="271" ht="15.75" customHeight="1">
      <x:c r="A271" s="70" t="n">
        <x:v>42</x:v>
      </x:c>
      <x:c r="B271" s="54" t="str">
        <x:v>UP042_20240708_073251_R2252</x:v>
      </x:c>
      <x:c r="C271" s="88" t="n">
        <x:v>10</x:v>
      </x:c>
      <x:c r="D271" s="54" t="str">
        <x:v>南高教园区-下应路</x:v>
      </x:c>
      <x:c r="E271" s="88" t="n">
        <x:v>41</x:v>
      </x:c>
      <x:c r="F271" s="88" t="n">
        <x:v>2261</x:v>
      </x:c>
      <x:c r="G271" s="54" t="str">
        <x:v>2024-07-08 07:54:11</x:v>
      </x:c>
      <x:c r="H271" s="54" t="str">
        <x:v>2024-07-08 07:56:01</x:v>
      </x:c>
      <x:c r="I271" s="54" t="str">
        <x:v>traceability-cache+mass</x:v>
      </x:c>
      <x:c r="J271" s="54" t="str">
        <x:v>cache+mass</x:v>
      </x:c>
      <x:c r="K271" s="88" t="n">
        <x:v>2198</x:v>
      </x:c>
      <x:c r="L271" s="60" t="n">
        <x:v>109.85</x:v>
      </x:c>
      <x:c r="M271" s="60" t="n">
        <x:v>1.473710138888883</x:v>
      </x:c>
      <x:c r="N271" s="60" t="n">
        <x:v>236.7</x:v>
      </x:c>
      <x:c r="O271" s="60" t="n">
        <x:v>23.055009680868057</x:v>
      </x:c>
      <x:c r="P271" s="60" t="n">
        <x:v>22.50989265008063</x:v>
      </x:c>
      <x:c r="Q271" s="60" t="n">
        <x:v>-0.5451170307874272</x:v>
      </x:c>
      <x:c r="R271" s="63" t="n">
        <x:v>-2.364419006250891</x:v>
      </x:c>
    </x:row>
    <x:row r="272" ht="15.75" customHeight="1">
      <x:c r="A272" s="70" t="n">
        <x:v>42</x:v>
      </x:c>
      <x:c r="B272" s="54" t="str">
        <x:v>UP042_20240708_073251_R2252</x:v>
      </x:c>
      <x:c r="C272" s="88" t="n">
        <x:v>11</x:v>
      </x:c>
      <x:c r="D272" s="54" t="str">
        <x:v>下应路-大洋江</x:v>
      </x:c>
      <x:c r="E272" s="88" t="n">
        <x:v>41</x:v>
      </x:c>
      <x:c r="F272" s="88" t="n">
        <x:v>2262</x:v>
      </x:c>
      <x:c r="G272" s="54" t="str">
        <x:v>2024-07-08 07:56:31</x:v>
      </x:c>
      <x:c r="H272" s="54" t="str">
        <x:v>2024-07-08 07:58:12</x:v>
      </x:c>
      <x:c r="I272" s="54" t="str">
        <x:v>traceability-cache+mass</x:v>
      </x:c>
      <x:c r="J272" s="54" t="str">
        <x:v>cache+mass</x:v>
      </x:c>
      <x:c r="K272" s="88" t="n">
        <x:v>2026</x:v>
      </x:c>
      <x:c r="L272" s="60" t="n">
        <x:v>101.25</x:v>
      </x:c>
      <x:c r="M272" s="60" t="n">
        <x:v>1.233169583333334</x:v>
      </x:c>
      <x:c r="N272" s="60" t="n">
        <x:v>238.6</x:v>
      </x:c>
      <x:c r="O272" s="60" t="n">
        <x:v>15.086756072909724</x:v>
      </x:c>
      <x:c r="P272" s="60" t="n">
        <x:v>15.505789769860352</x:v>
      </x:c>
      <x:c r="Q272" s="60" t="n">
        <x:v>0.4190336969506279</x:v>
      </x:c>
      <x:c r="R272" s="63" t="n">
        <x:v>2.7774936833707984</x:v>
      </x:c>
    </x:row>
    <x:row r="273" ht="15.75" customHeight="1">
      <x:c r="A273" s="70" t="n">
        <x:v>42</x:v>
      </x:c>
      <x:c r="B273" s="54" t="str">
        <x:v>UP042_20240708_073251_R2252</x:v>
      </x:c>
      <x:c r="C273" s="88" t="n">
        <x:v>12</x:v>
      </x:c>
      <x:c r="D273" s="54" t="str">
        <x:v>大洋江-泗港</x:v>
      </x:c>
      <x:c r="E273" s="88" t="n">
        <x:v>41</x:v>
      </x:c>
      <x:c r="F273" s="88" t="n">
        <x:v>2263</x:v>
      </x:c>
      <x:c r="G273" s="54" t="str">
        <x:v>2024-07-08 07:58:42</x:v>
      </x:c>
      <x:c r="H273" s="54" t="str">
        <x:v>2024-07-08 08:00:13</x:v>
      </x:c>
      <x:c r="I273" s="54" t="str">
        <x:v>traceability-cache+mass</x:v>
      </x:c>
      <x:c r="J273" s="54" t="str">
        <x:v>cache+mass</x:v>
      </x:c>
      <x:c r="K273" s="88" t="n">
        <x:v>1837</x:v>
      </x:c>
      <x:c r="L273" s="60" t="n">
        <x:v>91.8</x:v>
      </x:c>
      <x:c r="M273" s="60" t="n">
        <x:v>0.9727413888888886</x:v>
      </x:c>
      <x:c r="N273" s="60" t="n">
        <x:v>238.5</x:v>
      </x:c>
      <x:c r="O273" s="60" t="n">
        <x:v>12.4338299616875</x:v>
      </x:c>
      <x:c r="P273" s="60" t="n">
        <x:v>12.997432920772884</x:v>
      </x:c>
      <x:c r="Q273" s="60" t="n">
        <x:v>0.5636029590853832</x:v>
      </x:c>
      <x:c r="R273" s="63" t="n">
        <x:v>4.532818615197564</x:v>
      </x:c>
    </x:row>
    <x:row r="274" ht="15.75" customHeight="1">
      <x:c r="A274" s="70" t="n">
        <x:v>42</x:v>
      </x:c>
      <x:c r="B274" s="54" t="str">
        <x:v>UP042_20240708_073251_R2252</x:v>
      </x:c>
      <x:c r="C274" s="88" t="n">
        <x:v>13</x:v>
      </x:c>
      <x:c r="D274" s="54" t="str">
        <x:v>泗港-曹隘</x:v>
      </x:c>
      <x:c r="E274" s="88" t="n">
        <x:v>41</x:v>
      </x:c>
      <x:c r="F274" s="88" t="n">
        <x:v>2264</x:v>
      </x:c>
      <x:c r="G274" s="54" t="str">
        <x:v>2024-07-08 08:00:43</x:v>
      </x:c>
      <x:c r="H274" s="54" t="str">
        <x:v>2024-07-08 08:02:54</x:v>
      </x:c>
      <x:c r="I274" s="54" t="str">
        <x:v>traceability-cache+mass</x:v>
      </x:c>
      <x:c r="J274" s="54" t="str">
        <x:v>cache+mass</x:v>
      </x:c>
      <x:c r="K274" s="88" t="n">
        <x:v>2617</x:v>
      </x:c>
      <x:c r="L274" s="60" t="n">
        <x:v>130.8</x:v>
      </x:c>
      <x:c r="M274" s="60" t="n">
        <x:v>1.8257340277777767</x:v>
      </x:c>
      <x:c r="N274" s="60" t="n">
        <x:v>238.9</x:v>
      </x:c>
      <x:c r="O274" s="60" t="n">
        <x:v>24.5210085024375</x:v>
      </x:c>
      <x:c r="P274" s="60" t="n">
        <x:v>25.136351520167118</x:v>
      </x:c>
      <x:c r="Q274" s="60" t="n">
        <x:v>0.6153430177296141</x:v>
      </x:c>
      <x:c r="R274" s="63" t="n">
        <x:v>2.509452323987597</x:v>
      </x:c>
    </x:row>
    <x:row r="275" ht="15.75" customHeight="1">
      <x:c r="A275" s="70" t="n">
        <x:v>42</x:v>
      </x:c>
      <x:c r="B275" s="54" t="str">
        <x:v>UP042_20240708_073251_R2252</x:v>
      </x:c>
      <x:c r="C275" s="88" t="n">
        <x:v>14</x:v>
      </x:c>
      <x:c r="D275" s="54" t="str">
        <x:v>曹隘-柳隘</x:v>
      </x:c>
      <x:c r="E275" s="88" t="n">
        <x:v>41</x:v>
      </x:c>
      <x:c r="F275" s="88" t="n">
        <x:v>2265</x:v>
      </x:c>
      <x:c r="G275" s="54" t="str">
        <x:v>2024-07-08 08:03:25</x:v>
      </x:c>
      <x:c r="H275" s="54" t="str">
        <x:v>2024-07-08 08:05:11</x:v>
      </x:c>
      <x:c r="I275" s="54" t="str">
        <x:v>traceability-cache+mass</x:v>
      </x:c>
      <x:c r="J275" s="54" t="str">
        <x:v>cache+mass</x:v>
      </x:c>
      <x:c r="K275" s="88" t="n">
        <x:v>2122</x:v>
      </x:c>
      <x:c r="L275" s="60" t="n">
        <x:v>106.05</x:v>
      </x:c>
      <x:c r="M275" s="60" t="n">
        <x:v>1.327565555555549</x:v>
      </x:c>
      <x:c r="N275" s="60" t="n">
        <x:v>243.1</x:v>
      </x:c>
      <x:c r="O275" s="60" t="n">
        <x:v>23.54924768536805</x:v>
      </x:c>
      <x:c r="P275" s="60" t="n">
        <x:v>24.97818703835357</x:v>
      </x:c>
      <x:c r="Q275" s="60" t="n">
        <x:v>1.4289393529855223</x:v>
      </x:c>
      <x:c r="R275" s="63" t="n">
        <x:v>6.067876868412111</x:v>
      </x:c>
    </x:row>
    <x:row r="276" ht="15.75" customHeight="1">
      <x:c r="A276" s="70" t="n">
        <x:v>42</x:v>
      </x:c>
      <x:c r="B276" s="54" t="str">
        <x:v>UP042_20240708_073251_R2252</x:v>
      </x:c>
      <x:c r="C276" s="88" t="n">
        <x:v>15</x:v>
      </x:c>
      <x:c r="D276" s="54" t="str">
        <x:v>柳隘-海晏北路</x:v>
      </x:c>
      <x:c r="E276" s="88" t="n">
        <x:v>41</x:v>
      </x:c>
      <x:c r="F276" s="88" t="n">
        <x:v>2266</x:v>
      </x:c>
      <x:c r="G276" s="54" t="str">
        <x:v>2024-07-08 08:05:41</x:v>
      </x:c>
      <x:c r="H276" s="54" t="str">
        <x:v>2024-07-08 08:07:10</x:v>
      </x:c>
      <x:c r="I276" s="54" t="str">
        <x:v>traceability-cache+mass</x:v>
      </x:c>
      <x:c r="J276" s="54" t="str">
        <x:v>cache+mass</x:v>
      </x:c>
      <x:c r="K276" s="88" t="n">
        <x:v>1778</x:v>
      </x:c>
      <x:c r="L276" s="60" t="n">
        <x:v>88.85</x:v>
      </x:c>
      <x:c r="M276" s="60" t="n">
        <x:v>0.9960655555555556</x:v>
      </x:c>
      <x:c r="N276" s="60" t="n">
        <x:v>244.9</x:v>
      </x:c>
      <x:c r="O276" s="60" t="n">
        <x:v>16.450083934180558</x:v>
      </x:c>
      <x:c r="P276" s="60" t="n">
        <x:v>17.6615883030611</x:v>
      </x:c>
      <x:c r="Q276" s="60" t="n">
        <x:v>1.2115043688805418</x:v>
      </x:c>
      <x:c r="R276" s="63" t="n">
        <x:v>7.364730622214247</x:v>
      </x:c>
    </x:row>
    <x:row r="277" ht="15.75" customHeight="1">
      <x:c r="A277" s="70" t="n">
        <x:v>42</x:v>
      </x:c>
      <x:c r="B277" s="54" t="str">
        <x:v>UP042_20240708_073251_R2252</x:v>
      </x:c>
      <x:c r="C277" s="88" t="n">
        <x:v>16</x:v>
      </x:c>
      <x:c r="D277" s="54" t="str">
        <x:v>海晏北路-民安东路</x:v>
      </x:c>
      <x:c r="E277" s="88" t="n">
        <x:v>41</x:v>
      </x:c>
      <x:c r="F277" s="88" t="n">
        <x:v>2267</x:v>
      </x:c>
      <x:c r="G277" s="54" t="str">
        <x:v>2024-07-08 08:07:55</x:v>
      </x:c>
      <x:c r="H277" s="54" t="str">
        <x:v>2024-07-08 08:09:18</x:v>
      </x:c>
      <x:c r="I277" s="54" t="str">
        <x:v>traceability-cache+mass</x:v>
      </x:c>
      <x:c r="J277" s="54" t="str">
        <x:v>cache+mass</x:v>
      </x:c>
      <x:c r="K277" s="88" t="n">
        <x:v>1673</x:v>
      </x:c>
      <x:c r="L277" s="60" t="n">
        <x:v>83.6</x:v>
      </x:c>
      <x:c r="M277" s="60" t="n">
        <x:v>0.8779791666666642</x:v>
      </x:c>
      <x:c r="N277" s="60" t="n">
        <x:v>247.7</x:v>
      </x:c>
      <x:c r="O277" s="60" t="n">
        <x:v>17.469422603826388</x:v>
      </x:c>
      <x:c r="P277" s="60" t="n">
        <x:v>18.47571796047104</x:v>
      </x:c>
      <x:c r="Q277" s="60" t="n">
        <x:v>1.0062953566446486</x:v>
      </x:c>
      <x:c r="R277" s="63" t="n">
        <x:v>5.760324078623161</x:v>
      </x:c>
    </x:row>
    <x:row r="278" ht="15.75" customHeight="1">
      <x:c r="A278" s="70" t="n">
        <x:v>42</x:v>
      </x:c>
      <x:c r="B278" s="54" t="str">
        <x:v>UP042_20240708_073251_R2252</x:v>
      </x:c>
      <x:c r="C278" s="88" t="n">
        <x:v>17</x:v>
      </x:c>
      <x:c r="D278" s="54" t="str">
        <x:v>民安东路-会展中心</x:v>
      </x:c>
      <x:c r="E278" s="88" t="n">
        <x:v>40</x:v>
      </x:c>
      <x:c r="F278" s="88" t="n">
        <x:v>2268</x:v>
      </x:c>
      <x:c r="G278" s="54" t="str">
        <x:v>2024-07-08 08:09:47</x:v>
      </x:c>
      <x:c r="H278" s="54" t="str">
        <x:v>2024-07-08 08:11:04</x:v>
      </x:c>
      <x:c r="I278" s="54" t="str">
        <x:v>traceability-cache+mass</x:v>
      </x:c>
      <x:c r="J278" s="54" t="str">
        <x:v>cache+mass</x:v>
      </x:c>
      <x:c r="K278" s="88" t="n">
        <x:v>1538</x:v>
      </x:c>
      <x:c r="L278" s="60" t="n">
        <x:v>76.85</x:v>
      </x:c>
      <x:c r="M278" s="60" t="n">
        <x:v>0.7367140277777763</x:v>
      </x:c>
      <x:c r="N278" s="60" t="n">
        <x:v>240.1</x:v>
      </x:c>
      <x:c r="O278" s="60" t="n">
        <x:v>13.14131212140278</x:v>
      </x:c>
      <x:c r="P278" s="60" t="n">
        <x:v>14.180993241947236</x:v>
      </x:c>
      <x:c r="Q278" s="60" t="n">
        <x:v>1.0396811205444574</x:v>
      </x:c>
      <x:c r="R278" s="63" t="n">
        <x:v>7.911547271228468</x:v>
      </x:c>
    </x:row>
    <x:row r="279" ht="15.75" customHeight="1">
      <x:c r="A279" s="70" t="n">
        <x:v>42</x:v>
      </x:c>
      <x:c r="B279" s="54" t="str">
        <x:v>UP042_20240708_073251_R2252</x:v>
      </x:c>
      <x:c r="C279" s="88" t="n">
        <x:v>18</x:v>
      </x:c>
      <x:c r="D279" s="54" t="str">
        <x:v>会展中心-院士路</x:v>
      </x:c>
      <x:c r="E279" s="88" t="n">
        <x:v>40</x:v>
      </x:c>
      <x:c r="F279" s="88" t="n">
        <x:v>2269</x:v>
      </x:c>
      <x:c r="G279" s="54" t="str">
        <x:v>2024-07-08 08:11:34</x:v>
      </x:c>
      <x:c r="H279" s="54" t="str">
        <x:v>2024-07-08 08:13:29</x:v>
      </x:c>
      <x:c r="I279" s="54" t="str">
        <x:v>traceability-cache+mass</x:v>
      </x:c>
      <x:c r="J279" s="54" t="str">
        <x:v>cache+mass</x:v>
      </x:c>
      <x:c r="K279" s="88" t="n">
        <x:v>2294</x:v>
      </x:c>
      <x:c r="L279" s="60" t="n">
        <x:v>114.65</x:v>
      </x:c>
      <x:c r="M279" s="60" t="n">
        <x:v>1.576022500000003</x:v>
      </x:c>
      <x:c r="N279" s="60" t="n">
        <x:v>232.2</x:v>
      </x:c>
      <x:c r="O279" s="60" t="n">
        <x:v>15.882842071090275</x:v>
      </x:c>
      <x:c r="P279" s="60" t="n">
        <x:v>16.850265477972815</x:v>
      </x:c>
      <x:c r="Q279" s="60" t="n">
        <x:v>0.9674234068825373</x:v>
      </x:c>
      <x:c r="R279" s="63" t="n">
        <x:v>6.090996828857396</x:v>
      </x:c>
    </x:row>
    <x:row r="280" ht="15.75" customHeight="1">
      <x:c r="A280" s="70" t="n">
        <x:v>42</x:v>
      </x:c>
      <x:c r="B280" s="54" t="str">
        <x:v>UP042_20240708_073251_R2252</x:v>
      </x:c>
      <x:c r="C280" s="88" t="n">
        <x:v>19</x:v>
      </x:c>
      <x:c r="D280" s="54" t="str">
        <x:v>院士路-盎孟港</x:v>
      </x:c>
      <x:c r="E280" s="88" t="n">
        <x:v>40</x:v>
      </x:c>
      <x:c r="F280" s="88" t="n">
        <x:v>2270</x:v>
      </x:c>
      <x:c r="G280" s="54" t="str">
        <x:v>2024-07-08 08:13:59</x:v>
      </x:c>
      <x:c r="H280" s="54" t="str">
        <x:v>2024-07-08 08:15:29</x:v>
      </x:c>
      <x:c r="I280" s="54" t="str">
        <x:v>traceability-cache+mass</x:v>
      </x:c>
      <x:c r="J280" s="54" t="str">
        <x:v>cache+mass</x:v>
      </x:c>
      <x:c r="K280" s="88" t="n">
        <x:v>1803</x:v>
      </x:c>
      <x:c r="L280" s="60" t="n">
        <x:v>90.1</x:v>
      </x:c>
      <x:c r="M280" s="60" t="n">
        <x:v>1.010387222222222</x:v>
      </x:c>
      <x:c r="N280" s="60" t="n">
        <x:v>225.2</x:v>
      </x:c>
      <x:c r="O280" s="60" t="n">
        <x:v>20.541933064743056</x:v>
      </x:c>
      <x:c r="P280" s="60" t="n">
        <x:v>21.492371927812176</x:v>
      </x:c>
      <x:c r="Q280" s="60" t="n">
        <x:v>0.950438863069121</x:v>
      </x:c>
      <x:c r="R280" s="63" t="n">
        <x:v>4.626822899644227</x:v>
      </x:c>
    </x:row>
    <x:row r="281" ht="15.75" customHeight="1">
      <x:c r="A281" s="70" t="n">
        <x:v>42</x:v>
      </x:c>
      <x:c r="B281" s="54" t="str">
        <x:v>UP042_20240708_073251_R2252</x:v>
      </x:c>
      <x:c r="C281" s="88" t="n">
        <x:v>20</x:v>
      </x:c>
      <x:c r="D281" s="54" t="str">
        <x:v>盎孟港-三官堂</x:v>
      </x:c>
      <x:c r="E281" s="88" t="n">
        <x:v>40</x:v>
      </x:c>
      <x:c r="F281" s="88" t="n">
        <x:v>2271</x:v>
      </x:c>
      <x:c r="G281" s="54" t="str">
        <x:v>2024-07-08 08:15:59</x:v>
      </x:c>
      <x:c r="H281" s="54" t="str">
        <x:v>2024-07-08 08:18:09</x:v>
      </x:c>
      <x:c r="I281" s="54" t="str">
        <x:v>traceability-cache+mass</x:v>
      </x:c>
      <x:c r="J281" s="54" t="str">
        <x:v>cache+mass</x:v>
      </x:c>
      <x:c r="K281" s="88" t="n">
        <x:v>2614</x:v>
      </x:c>
      <x:c r="L281" s="60" t="n">
        <x:v>130.65</x:v>
      </x:c>
      <x:c r="M281" s="60" t="n">
        <x:v>1.906821666666672</x:v>
      </x:c>
      <x:c r="N281" s="60" t="n">
        <x:v>219.02</x:v>
      </x:c>
      <x:c r="O281" s="60" t="n">
        <x:v>17.548735981375</x:v>
      </x:c>
      <x:c r="P281" s="60" t="n">
        <x:v>17.456066769988563</x:v>
      </x:c>
      <x:c r="Q281" s="60" t="n">
        <x:v>-0.0926692113864373</x:v>
      </x:c>
      <x:c r="R281" s="63" t="n">
        <x:v>-0.5280677279821748</x:v>
      </x:c>
    </x:row>
    <x:row r="282" ht="15.75" customHeight="1">
      <x:c r="A282" s="70" t="n">
        <x:v>42</x:v>
      </x:c>
      <x:c r="B282" s="54" t="str">
        <x:v>UP042_20240708_073251_R2252</x:v>
      </x:c>
      <x:c r="C282" s="88" t="n">
        <x:v>21</x:v>
      </x:c>
      <x:c r="D282" s="54" t="str">
        <x:v>三官堂-兴庄路</x:v>
      </x:c>
      <x:c r="E282" s="88" t="n">
        <x:v>40</x:v>
      </x:c>
      <x:c r="F282" s="88" t="n">
        <x:v>2272</x:v>
      </x:c>
      <x:c r="G282" s="54" t="str">
        <x:v>2024-07-08 08:18:39</x:v>
      </x:c>
      <x:c r="H282" s="54" t="str">
        <x:v>2024-07-08 08:20:17</x:v>
      </x:c>
      <x:c r="I282" s="54" t="str">
        <x:v>traceability-cache+mass</x:v>
      </x:c>
      <x:c r="J282" s="54" t="str">
        <x:v>cache+mass</x:v>
      </x:c>
      <x:c r="K282" s="88" t="n">
        <x:v>1959</x:v>
      </x:c>
      <x:c r="L282" s="60" t="n">
        <x:v>97.9</x:v>
      </x:c>
      <x:c r="M282" s="60" t="n">
        <x:v>1.097784166666668</x:v>
      </x:c>
      <x:c r="N282" s="60" t="n">
        <x:v>216.94</x:v>
      </x:c>
      <x:c r="O282" s="60" t="n">
        <x:v>11.424686395444445</x:v>
      </x:c>
      <x:c r="P282" s="60" t="n">
        <x:v>11.936785769517886</x:v>
      </x:c>
      <x:c r="Q282" s="60" t="n">
        <x:v>0.5120993740734412</x:v>
      </x:c>
      <x:c r="R282" s="63" t="n">
        <x:v>4.482393269697442</x:v>
      </x:c>
    </x:row>
    <x:row r="283" ht="15.75" customHeight="1">
      <x:c r="A283" s="70" t="n">
        <x:v>42</x:v>
      </x:c>
      <x:c r="B283" s="54" t="str">
        <x:v>UP042_20240708_073251_R2252</x:v>
      </x:c>
      <x:c r="C283" s="88" t="n">
        <x:v>22</x:v>
      </x:c>
      <x:c r="D283" s="54" t="str">
        <x:v>兴庄路-兴海南路</x:v>
      </x:c>
      <x:c r="E283" s="88" t="n">
        <x:v>40</x:v>
      </x:c>
      <x:c r="F283" s="88" t="n">
        <x:v>2273</x:v>
      </x:c>
      <x:c r="G283" s="54" t="str">
        <x:v>2024-07-08 08:20:48</x:v>
      </x:c>
      <x:c r="H283" s="54" t="str">
        <x:v>2024-07-08 08:22:17</x:v>
      </x:c>
      <x:c r="I283" s="54" t="str">
        <x:v>traceability-cache+mass</x:v>
      </x:c>
      <x:c r="J283" s="54" t="str">
        <x:v>cache+mass</x:v>
      </x:c>
      <x:c r="K283" s="88" t="n">
        <x:v>1779</x:v>
      </x:c>
      <x:c r="L283" s="60" t="n">
        <x:v>88.9</x:v>
      </x:c>
      <x:c r="M283" s="60" t="n">
        <x:v>0.9740726388888896</x:v>
      </x:c>
      <x:c r="N283" s="60" t="n">
        <x:v>216.04</x:v>
      </x:c>
      <x:c r="O283" s="60" t="n">
        <x:v>16.175605823354168</x:v>
      </x:c>
      <x:c r="P283" s="60" t="n">
        <x:v>17.46327356898198</x:v>
      </x:c>
      <x:c r="Q283" s="60" t="n">
        <x:v>1.287667745627812</x:v>
      </x:c>
      <x:c r="R283" s="63" t="n">
        <x:v>7.960553438862187</x:v>
      </x:c>
    </x:row>
    <x:row r="284" ht="15.75" customHeight="1">
      <x:c r="A284" s="70" t="n">
        <x:v>42</x:v>
      </x:c>
      <x:c r="B284" s="54" t="str">
        <x:v>UP042_20240708_073251_R2252</x:v>
      </x:c>
      <x:c r="C284" s="88" t="n">
        <x:v>23</x:v>
      </x:c>
      <x:c r="D284" s="54" t="str">
        <x:v>兴海南路-梅堰</x:v>
      </x:c>
      <x:c r="E284" s="88" t="n">
        <x:v>40</x:v>
      </x:c>
      <x:c r="F284" s="88" t="n">
        <x:v>2274</x:v>
      </x:c>
      <x:c r="G284" s="54" t="str">
        <x:v>2024-07-08 08:22:46</x:v>
      </x:c>
      <x:c r="H284" s="54" t="str">
        <x:v>2024-07-08 08:24:08</x:v>
      </x:c>
      <x:c r="I284" s="54" t="str">
        <x:v>traceability-cache+mass</x:v>
      </x:c>
      <x:c r="J284" s="54" t="str">
        <x:v>cache+mass</x:v>
      </x:c>
      <x:c r="K284" s="88" t="n">
        <x:v>1624</x:v>
      </x:c>
      <x:c r="L284" s="60" t="n">
        <x:v>81.15</x:v>
      </x:c>
      <x:c r="M284" s="60" t="n">
        <x:v>0.8464801388888891</x:v>
      </x:c>
      <x:c r="N284" s="60" t="n">
        <x:v>215.64</x:v>
      </x:c>
      <x:c r="O284" s="60" t="n">
        <x:v>13.275824006888888</x:v>
      </x:c>
      <x:c r="P284" s="60" t="n">
        <x:v>14.369515074759915</x:v>
      </x:c>
      <x:c r="Q284" s="60" t="n">
        <x:v>1.0936910678710263</x:v>
      </x:c>
      <x:c r="R284" s="63" t="n">
        <x:v>8.238216078365493</x:v>
      </x:c>
    </x:row>
    <x:row r="285" ht="15.75" customHeight="1">
      <x:c r="A285" s="70" t="n">
        <x:v>42</x:v>
      </x:c>
      <x:c r="B285" s="54" t="str">
        <x:v>UP042_20240708_073251_R2252</x:v>
      </x:c>
      <x:c r="C285" s="88" t="n">
        <x:v>24</x:v>
      </x:c>
      <x:c r="D285" s="54" t="str">
        <x:v>梅堰-永茂路</x:v>
      </x:c>
      <x:c r="E285" s="88" t="n">
        <x:v>32</x:v>
      </x:c>
      <x:c r="F285" s="88" t="n">
        <x:v>2275</x:v>
      </x:c>
      <x:c r="G285" s="54" t="str">
        <x:v>2024-07-08 08:24:37</x:v>
      </x:c>
      <x:c r="H285" s="54" t="str">
        <x:v>2024-07-08 08:29:55</x:v>
      </x:c>
      <x:c r="I285" s="54" t="str">
        <x:v>traceability-cache+mass</x:v>
      </x:c>
      <x:c r="J285" s="54" t="str">
        <x:v>cache+mass</x:v>
      </x:c>
      <x:c r="K285" s="88" t="n">
        <x:v>6369</x:v>
      </x:c>
      <x:c r="L285" s="60" t="n">
        <x:v>318.4</x:v>
      </x:c>
      <x:c r="M285" s="60" t="n">
        <x:v>3.734258333333324</x:v>
      </x:c>
      <x:c r="N285" s="60" t="n">
        <x:v>215.64</x:v>
      </x:c>
      <x:c r="O285" s="60" t="n">
        <x:v>28.6502488453125</x:v>
      </x:c>
      <x:c r="P285" s="60" t="n">
        <x:v>29.452416899586243</x:v>
      </x:c>
      <x:c r="Q285" s="60" t="n">
        <x:v>0.8021680542737413</x:v>
      </x:c>
      <x:c r="R285" s="63" t="n">
        <x:v>2.7998641778114437</x:v>
      </x:c>
    </x:row>
    <x:row r="286" ht="15.75" customHeight="1">
      <x:c r="A286" s="70" t="n">
        <x:v>42</x:v>
      </x:c>
      <x:c r="B286" s="54" t="str">
        <x:v>UP042_20240708_073251_R2252</x:v>
      </x:c>
      <x:c r="C286" s="88" t="n">
        <x:v>25</x:v>
      </x:c>
      <x:c r="D286" s="54" t="str">
        <x:v>永茂路-镇海大道</x:v>
      </x:c>
      <x:c r="E286" s="88" t="n">
        <x:v>40</x:v>
      </x:c>
      <x:c r="F286" s="88" t="n">
        <x:v>2276</x:v>
      </x:c>
      <x:c r="G286" s="54" t="str">
        <x:v>2024-07-08 08:30:23</x:v>
      </x:c>
      <x:c r="H286" s="54" t="str">
        <x:v>2024-07-08 08:32:45</x:v>
      </x:c>
      <x:c r="I286" s="54" t="str">
        <x:v>traceability-cache+mass</x:v>
      </x:c>
      <x:c r="J286" s="54" t="str">
        <x:v>cache+mass</x:v>
      </x:c>
      <x:c r="K286" s="88" t="n">
        <x:v>2833</x:v>
      </x:c>
      <x:c r="L286" s="60" t="n">
        <x:v>141.6</x:v>
      </x:c>
      <x:c r="M286" s="60" t="n">
        <x:v>2.1643811111111124</x:v>
      </x:c>
      <x:c r="N286" s="60" t="n">
        <x:v>215.64</x:v>
      </x:c>
      <x:c r="O286" s="60" t="n">
        <x:v>17.804943392819446</x:v>
      </x:c>
      <x:c r="P286" s="60" t="n">
        <x:v>18.138581447497323</x:v>
      </x:c>
      <x:c r="Q286" s="60" t="n">
        <x:v>0.3336380546778782</x:v>
      </x:c>
      <x:c r="R286" s="63" t="n">
        <x:v>1.8738506903225045</x:v>
      </x:c>
    </x:row>
    <x:row r="287" ht="15.75" customHeight="1">
      <x:c r="A287" s="70" t="n">
        <x:v>42</x:v>
      </x:c>
      <x:c r="B287" s="54" t="str">
        <x:v>UP042_20240708_073251_R2252</x:v>
      </x:c>
      <x:c r="C287" s="88" t="n">
        <x:v>26</x:v>
      </x:c>
      <x:c r="D287" s="54" t="str">
        <x:v>镇海大道-骆驼桥</x:v>
      </x:c>
      <x:c r="E287" s="88" t="n">
        <x:v>40</x:v>
      </x:c>
      <x:c r="F287" s="88" t="n">
        <x:v>2277</x:v>
      </x:c>
      <x:c r="G287" s="54" t="str">
        <x:v>2024-07-08 08:33:12</x:v>
      </x:c>
      <x:c r="H287" s="54" t="str">
        <x:v>2024-07-08 08:35:09</x:v>
      </x:c>
      <x:c r="I287" s="54" t="str">
        <x:v>traceability-cache+mass</x:v>
      </x:c>
      <x:c r="J287" s="54" t="str">
        <x:v>cache+mass</x:v>
      </x:c>
      <x:c r="K287" s="88" t="n">
        <x:v>2335</x:v>
      </x:c>
      <x:c r="L287" s="60" t="n">
        <x:v>116.7</x:v>
      </x:c>
      <x:c r="M287" s="60" t="n">
        <x:v>1.620428749999999</x:v>
      </x:c>
      <x:c r="N287" s="60" t="n">
        <x:v>215.54</x:v>
      </x:c>
      <x:c r="O287" s="60" t="n">
        <x:v>20.42689927992361</x:v>
      </x:c>
      <x:c r="P287" s="60" t="n">
        <x:v>19.64278869565201</x:v>
      </x:c>
      <x:c r="Q287" s="60" t="n">
        <x:v>-0.7841105842716024</x:v>
      </x:c>
      <x:c r="R287" s="63" t="n">
        <x:v>-3.8386177634030743</x:v>
      </x:c>
    </x:row>
    <x:row r="288" ht="15.75" customHeight="1">
      <x:c r="A288" s="70" t="n">
        <x:v>62</x:v>
      </x:c>
      <x:c r="B288" s="54" t="str">
        <x:v>UP062_20240715_081635_R3332</x:v>
      </x:c>
      <x:c r="C288" s="88" t="n">
        <x:v>1</x:v>
      </x:c>
      <x:c r="D288" s="54" t="str">
        <x:v>布政-张家潭</x:v>
      </x:c>
      <x:c r="E288" s="88" t="n">
        <x:v>61</x:v>
      </x:c>
      <x:c r="F288" s="88" t="n">
        <x:v>3332</x:v>
      </x:c>
      <x:c r="G288" s="54" t="str">
        <x:v>2024-07-15 08:16:35</x:v>
      </x:c>
      <x:c r="H288" s="54" t="str">
        <x:v>2024-07-15 08:18:30</x:v>
      </x:c>
      <x:c r="I288" s="54" t="str">
        <x:v>traceability-cache+mass</x:v>
      </x:c>
      <x:c r="J288" s="54" t="str">
        <x:v>cache+mass</x:v>
      </x:c>
      <x:c r="K288" s="88" t="n">
        <x:v>2291</x:v>
      </x:c>
      <x:c r="L288" s="60" t="n">
        <x:v>114.5</x:v>
      </x:c>
      <x:c r="M288" s="60" t="n">
        <x:v>1.428295555555558</x:v>
      </x:c>
      <x:c r="N288" s="60" t="n">
        <x:v>215.34</x:v>
      </x:c>
      <x:c r="O288" s="60" t="n">
        <x:v>15.91784890934028</x:v>
      </x:c>
      <x:c r="P288" s="60" t="n">
        <x:v>16.10020564401193</x:v>
      </x:c>
      <x:c r="Q288" s="60" t="n">
        <x:v>0.1823567346716499</x:v>
      </x:c>
      <x:c r="R288" s="63" t="n">
        <x:v>1.145611669706493</x:v>
      </x:c>
    </x:row>
    <x:row r="289" ht="15.75" customHeight="1">
      <x:c r="A289" s="70" t="n">
        <x:v>62</x:v>
      </x:c>
      <x:c r="B289" s="54" t="str">
        <x:v>UP062_20240715_081635_R3332</x:v>
      </x:c>
      <x:c r="C289" s="88" t="n">
        <x:v>2</x:v>
      </x:c>
      <x:c r="D289" s="54" t="str">
        <x:v>张家潭-同德路</x:v>
      </x:c>
      <x:c r="E289" s="88" t="n">
        <x:v>61</x:v>
      </x:c>
      <x:c r="F289" s="88" t="n">
        <x:v>3333</x:v>
      </x:c>
      <x:c r="G289" s="54" t="str">
        <x:v>2024-07-15 08:18:59</x:v>
      </x:c>
      <x:c r="H289" s="54" t="str">
        <x:v>2024-07-15 08:21:29</x:v>
      </x:c>
      <x:c r="I289" s="54" t="str">
        <x:v>traceability-cache+mass</x:v>
      </x:c>
      <x:c r="J289" s="54" t="str">
        <x:v>cache+mass</x:v>
      </x:c>
      <x:c r="K289" s="88" t="n">
        <x:v>2998</x:v>
      </x:c>
      <x:c r="L289" s="60" t="n">
        <x:v>149.85</x:v>
      </x:c>
      <x:c r="M289" s="60" t="n">
        <x:v>2.021050555555552</x:v>
      </x:c>
      <x:c r="N289" s="60" t="n">
        <x:v>215.64</x:v>
      </x:c>
      <x:c r="O289" s="60" t="n">
        <x:v>18.12696887075</x:v>
      </x:c>
      <x:c r="P289" s="60" t="n">
        <x:v>17.084173045824436</x:v>
      </x:c>
      <x:c r="Q289" s="60" t="n">
        <x:v>-1.042795824925568</x:v>
      </x:c>
      <x:c r="R289" s="63" t="n">
        <x:v>-5.752731371477346</x:v>
      </x:c>
    </x:row>
    <x:row r="290" ht="15.75" customHeight="1">
      <x:c r="A290" s="70" t="n">
        <x:v>62</x:v>
      </x:c>
      <x:c r="B290" s="54" t="str">
        <x:v>UP062_20240715_081635_R3332</x:v>
      </x:c>
      <x:c r="C290" s="88" t="n">
        <x:v>3</x:v>
      </x:c>
      <x:c r="D290" s="54" t="str">
        <x:v>同德路-石碶</x:v>
      </x:c>
      <x:c r="E290" s="88" t="n">
        <x:v>61</x:v>
      </x:c>
      <x:c r="F290" s="88" t="n">
        <x:v>3334</x:v>
      </x:c>
      <x:c r="G290" s="54" t="str">
        <x:v>2024-07-15 08:21:58</x:v>
      </x:c>
      <x:c r="H290" s="54" t="str">
        <x:v>2024-07-15 08:23:44</x:v>
      </x:c>
      <x:c r="I290" s="54" t="str">
        <x:v>traceability-cache+mass</x:v>
      </x:c>
      <x:c r="J290" s="54" t="str">
        <x:v>cache+mass</x:v>
      </x:c>
      <x:c r="K290" s="88" t="n">
        <x:v>2110</x:v>
      </x:c>
      <x:c r="L290" s="60" t="n">
        <x:v>105.45</x:v>
      </x:c>
      <x:c r="M290" s="60" t="n">
        <x:v>1.3323531944444469</x:v>
      </x:c>
      <x:c r="N290" s="60" t="n">
        <x:v>217.72</x:v>
      </x:c>
      <x:c r="O290" s="60" t="n">
        <x:v>15.32421704611111</x:v>
      </x:c>
      <x:c r="P290" s="60" t="n">
        <x:v>15.070980254111545</x:v>
      </x:c>
      <x:c r="Q290" s="60" t="n">
        <x:v>-0.2532367919995668</x:v>
      </x:c>
      <x:c r="R290" s="63" t="n">
        <x:v>-1.652526789705264</x:v>
      </x:c>
    </x:row>
    <x:row r="291" ht="15.75" customHeight="1">
      <x:c r="A291" s="70" t="n">
        <x:v>62</x:v>
      </x:c>
      <x:c r="B291" s="54" t="str">
        <x:v>UP062_20240715_081635_R3332</x:v>
      </x:c>
      <x:c r="C291" s="88" t="n">
        <x:v>4</x:v>
      </x:c>
      <x:c r="D291" s="54" t="str">
        <x:v>石碶-雅渡</x:v>
      </x:c>
      <x:c r="E291" s="88" t="n">
        <x:v>61</x:v>
      </x:c>
      <x:c r="F291" s="88" t="n">
        <x:v>3335</x:v>
      </x:c>
      <x:c r="G291" s="54" t="str">
        <x:v>2024-07-15 08:24:19</x:v>
      </x:c>
      <x:c r="H291" s="54" t="str">
        <x:v>2024-07-15 08:25:41</x:v>
      </x:c>
      <x:c r="I291" s="54" t="str">
        <x:v>traceability-cache+mass</x:v>
      </x:c>
      <x:c r="J291" s="54" t="str">
        <x:v>cache+mass</x:v>
      </x:c>
      <x:c r="K291" s="88" t="n">
        <x:v>1630</x:v>
      </x:c>
      <x:c r="L291" s="60" t="n">
        <x:v>81.45</x:v>
      </x:c>
      <x:c r="M291" s="60" t="n">
        <x:v>0.8274379166666676</x:v>
      </x:c>
      <x:c r="N291" s="60" t="n">
        <x:v>224.8</x:v>
      </x:c>
      <x:c r="O291" s="60" t="n">
        <x:v>12.3503759079375</x:v>
      </x:c>
      <x:c r="P291" s="60" t="n">
        <x:v>13.089668583171123</x:v>
      </x:c>
      <x:c r="Q291" s="60" t="n">
        <x:v>0.7392926752336243</x:v>
      </x:c>
      <x:c r="R291" s="63" t="n">
        <x:v>5.985993306960689</x:v>
      </x:c>
    </x:row>
    <x:row r="292" ht="15.75" customHeight="1">
      <x:c r="A292" s="70" t="n">
        <x:v>62</x:v>
      </x:c>
      <x:c r="B292" s="54" t="str">
        <x:v>UP062_20240715_081635_R3332</x:v>
      </x:c>
      <x:c r="C292" s="88" t="n">
        <x:v>5</x:v>
      </x:c>
      <x:c r="D292" s="54" t="str">
        <x:v>雅渡-庙堰</x:v>
      </x:c>
      <x:c r="E292" s="88" t="n">
        <x:v>61</x:v>
      </x:c>
      <x:c r="F292" s="88" t="n">
        <x:v>3336</x:v>
      </x:c>
      <x:c r="G292" s="54" t="str">
        <x:v>2024-07-15 08:26:11</x:v>
      </x:c>
      <x:c r="H292" s="54" t="str">
        <x:v>2024-07-15 08:28:21</x:v>
      </x:c>
      <x:c r="I292" s="54" t="str">
        <x:v>traceability-cache+mass</x:v>
      </x:c>
      <x:c r="J292" s="54" t="str">
        <x:v>cache+mass</x:v>
      </x:c>
      <x:c r="K292" s="88" t="n">
        <x:v>2588</x:v>
      </x:c>
      <x:c r="L292" s="60" t="n">
        <x:v>129.35</x:v>
      </x:c>
      <x:c r="M292" s="60" t="n">
        <x:v>1.8610563888888871</x:v>
      </x:c>
      <x:c r="N292" s="60" t="n">
        <x:v>227.9</x:v>
      </x:c>
      <x:c r="O292" s="60" t="n">
        <x:v>22.873462392416663</x:v>
      </x:c>
      <x:c r="P292" s="60" t="n">
        <x:v>22.03237631460121</x:v>
      </x:c>
      <x:c r="Q292" s="60" t="n">
        <x:v>-0.8410860778154529</x:v>
      </x:c>
      <x:c r="R292" s="63" t="n">
        <x:v>-3.677126197100364</x:v>
      </x:c>
    </x:row>
    <x:row r="293" ht="15.75" customHeight="1">
      <x:c r="A293" s="70" t="n">
        <x:v>62</x:v>
      </x:c>
      <x:c r="B293" s="54" t="str">
        <x:v>UP062_20240715_081635_R3332</x:v>
      </x:c>
      <x:c r="C293" s="88" t="n">
        <x:v>6</x:v>
      </x:c>
      <x:c r="D293" s="54" t="str">
        <x:v>庙堰-钟公庙</x:v>
      </x:c>
      <x:c r="E293" s="88" t="n">
        <x:v>61</x:v>
      </x:c>
      <x:c r="F293" s="88" t="n">
        <x:v>3337</x:v>
      </x:c>
      <x:c r="G293" s="54" t="str">
        <x:v>2024-07-15 08:28:50</x:v>
      </x:c>
      <x:c r="H293" s="54" t="str">
        <x:v>2024-07-15 08:30:25</x:v>
      </x:c>
      <x:c r="I293" s="54" t="str">
        <x:v>traceability-cache+mass</x:v>
      </x:c>
      <x:c r="J293" s="54" t="str">
        <x:v>cache+mass</x:v>
      </x:c>
      <x:c r="K293" s="88" t="n">
        <x:v>1892</x:v>
      </x:c>
      <x:c r="L293" s="60" t="n">
        <x:v>94.55</x:v>
      </x:c>
      <x:c r="M293" s="60" t="n">
        <x:v>1.0874974999999991</x:v>
      </x:c>
      <x:c r="N293" s="60" t="n">
        <x:v>229.5</x:v>
      </x:c>
      <x:c r="O293" s="60" t="n">
        <x:v>16.64191587720139</x:v>
      </x:c>
      <x:c r="P293" s="60" t="n">
        <x:v>16.69390921738177</x:v>
      </x:c>
      <x:c r="Q293" s="60" t="n">
        <x:v>0.0519933401803791</x:v>
      </x:c>
      <x:c r="R293" s="63" t="n">
        <x:v>0.3124240055293603</x:v>
      </x:c>
    </x:row>
    <x:row r="294" ht="15.75" customHeight="1">
      <x:c r="A294" s="70" t="n">
        <x:v>62</x:v>
      </x:c>
      <x:c r="B294" s="54" t="str">
        <x:v>UP062_20240715_081635_R3332</x:v>
      </x:c>
      <x:c r="C294" s="88" t="n">
        <x:v>7</x:v>
      </x:c>
      <x:c r="D294" s="54" t="str">
        <x:v>钟公庙-鄞州区政府</x:v>
      </x:c>
      <x:c r="E294" s="88" t="n">
        <x:v>61</x:v>
      </x:c>
      <x:c r="F294" s="88" t="n">
        <x:v>3338</x:v>
      </x:c>
      <x:c r="G294" s="54" t="str">
        <x:v>2024-07-15 08:30:55</x:v>
      </x:c>
      <x:c r="H294" s="54" t="str">
        <x:v>2024-07-15 08:32:23</x:v>
      </x:c>
      <x:c r="I294" s="54" t="str">
        <x:v>traceability-cache+mass</x:v>
      </x:c>
      <x:c r="J294" s="54" t="str">
        <x:v>cache+mass</x:v>
      </x:c>
      <x:c r="K294" s="88" t="n">
        <x:v>1776</x:v>
      </x:c>
      <x:c r="L294" s="60" t="n">
        <x:v>88.75</x:v>
      </x:c>
      <x:c r="M294" s="60" t="n">
        <x:v>0.9846904166666682</x:v>
      </x:c>
      <x:c r="N294" s="60" t="n">
        <x:v>231.1</x:v>
      </x:c>
      <x:c r="O294" s="60" t="n">
        <x:v>14.394528176499998</x:v>
      </x:c>
      <x:c r="P294" s="60" t="n">
        <x:v>14.844607841591037</x:v>
      </x:c>
      <x:c r="Q294" s="60" t="n">
        <x:v>0.4500796650910361</x:v>
      </x:c>
      <x:c r="R294" s="63" t="n">
        <x:v>3.1267413531887787</x:v>
      </x:c>
    </x:row>
    <x:row r="295" ht="15.75" customHeight="1">
      <x:c r="A295" s="70" t="n">
        <x:v>62</x:v>
      </x:c>
      <x:c r="B295" s="54" t="str">
        <x:v>UP062_20240715_081635_R3332</x:v>
      </x:c>
      <x:c r="C295" s="88" t="n">
        <x:v>8</x:v>
      </x:c>
      <x:c r="D295" s="54" t="str">
        <x:v>鄞州区政府-钱湖南路</x:v>
      </x:c>
      <x:c r="E295" s="88" t="n">
        <x:v>61</x:v>
      </x:c>
      <x:c r="F295" s="88" t="n">
        <x:v>3339</x:v>
      </x:c>
      <x:c r="G295" s="54" t="str">
        <x:v>2024-07-15 08:33:03</x:v>
      </x:c>
      <x:c r="H295" s="54" t="str">
        <x:v>2024-07-15 08:35:11</x:v>
      </x:c>
      <x:c r="I295" s="54" t="str">
        <x:v>traceability-cache+mass</x:v>
      </x:c>
      <x:c r="J295" s="54" t="str">
        <x:v>cache+mass</x:v>
      </x:c>
      <x:c r="K295" s="88" t="n">
        <x:v>2555</x:v>
      </x:c>
      <x:c r="L295" s="60" t="n">
        <x:v>127.7</x:v>
      </x:c>
      <x:c r="M295" s="60" t="n">
        <x:v>1.812449166666666</x:v>
      </x:c>
      <x:c r="N295" s="60" t="n">
        <x:v>224.5</x:v>
      </x:c>
      <x:c r="O295" s="60" t="n">
        <x:v>19.91338785029861</x:v>
      </x:c>
      <x:c r="P295" s="60" t="n">
        <x:v>18.55133489107948</x:v>
      </x:c>
      <x:c r="Q295" s="60" t="n">
        <x:v>-1.3620529592191306</x:v>
      </x:c>
      <x:c r="R295" s="63" t="n">
        <x:v>-6.839885656115044</x:v>
      </x:c>
    </x:row>
    <x:row r="296" ht="15.75" customHeight="1">
      <x:c r="A296" s="70" t="n">
        <x:v>62</x:v>
      </x:c>
      <x:c r="B296" s="54" t="str">
        <x:v>UP062_20240715_081635_R3332</x:v>
      </x:c>
      <x:c r="C296" s="88" t="n">
        <x:v>9</x:v>
      </x:c>
      <x:c r="D296" s="54" t="str">
        <x:v>钱湖南路-南高教园区</x:v>
      </x:c>
      <x:c r="E296" s="88" t="n">
        <x:v>61</x:v>
      </x:c>
      <x:c r="F296" s="88" t="n">
        <x:v>3340</x:v>
      </x:c>
      <x:c r="G296" s="54" t="str">
        <x:v>2024-07-15 08:35:41</x:v>
      </x:c>
      <x:c r="H296" s="54" t="str">
        <x:v>2024-07-15 08:37:18</x:v>
      </x:c>
      <x:c r="I296" s="54" t="str">
        <x:v>traceability-cache+mass</x:v>
      </x:c>
      <x:c r="J296" s="54" t="str">
        <x:v>cache+mass</x:v>
      </x:c>
      <x:c r="K296" s="88" t="n">
        <x:v>1939</x:v>
      </x:c>
      <x:c r="L296" s="60" t="n">
        <x:v>96.9</x:v>
      </x:c>
      <x:c r="M296" s="60" t="n">
        <x:v>1.1694722222222231</x:v>
      </x:c>
      <x:c r="N296" s="60" t="n">
        <x:v>223.6</x:v>
      </x:c>
      <x:c r="O296" s="60" t="n">
        <x:v>16.425830278722223</x:v>
      </x:c>
      <x:c r="P296" s="60" t="n">
        <x:v>16.441481036973325</x:v>
      </x:c>
      <x:c r="Q296" s="60" t="n">
        <x:v>0.0156507582511003</x:v>
      </x:c>
      <x:c r="R296" s="63" t="n">
        <x:v>0.095281382953129</x:v>
      </x:c>
    </x:row>
    <x:row r="297" ht="15.75" customHeight="1">
      <x:c r="A297" s="70" t="n">
        <x:v>62</x:v>
      </x:c>
      <x:c r="B297" s="54" t="str">
        <x:v>UP062_20240715_081635_R3332</x:v>
      </x:c>
      <x:c r="C297" s="88" t="n">
        <x:v>10</x:v>
      </x:c>
      <x:c r="D297" s="54" t="str">
        <x:v>南高教园区-下应路</x:v>
      </x:c>
      <x:c r="E297" s="88" t="n">
        <x:v>61</x:v>
      </x:c>
      <x:c r="F297" s="88" t="n">
        <x:v>3341</x:v>
      </x:c>
      <x:c r="G297" s="54" t="str">
        <x:v>2024-07-15 08:37:53</x:v>
      </x:c>
      <x:c r="H297" s="54" t="str">
        <x:v>2024-07-15 08:39:43</x:v>
      </x:c>
      <x:c r="I297" s="54" t="str">
        <x:v>traceability-cache+mass</x:v>
      </x:c>
      <x:c r="J297" s="54" t="str">
        <x:v>cache+mass</x:v>
      </x:c>
      <x:c r="K297" s="88" t="n">
        <x:v>2211</x:v>
      </x:c>
      <x:c r="L297" s="60" t="n">
        <x:v>110.5</x:v>
      </x:c>
      <x:c r="M297" s="60" t="n">
        <x:v>1.452518749999998</x:v>
      </x:c>
      <x:c r="N297" s="60" t="n">
        <x:v>225.1</x:v>
      </x:c>
      <x:c r="O297" s="60" t="n">
        <x:v>21.64287962542361</x:v>
      </x:c>
      <x:c r="P297" s="60" t="n">
        <x:v>20.288314797305222</x:v>
      </x:c>
      <x:c r="Q297" s="60" t="n">
        <x:v>-1.3545648281183895</x:v>
      </x:c>
      <x:c r="R297" s="63" t="n">
        <x:v>-6.258708875907621</x:v>
      </x:c>
    </x:row>
    <x:row r="298" ht="15.75" customHeight="1">
      <x:c r="A298" s="70" t="n">
        <x:v>62</x:v>
      </x:c>
      <x:c r="B298" s="54" t="str">
        <x:v>UP062_20240715_081635_R3332</x:v>
      </x:c>
      <x:c r="C298" s="88" t="n">
        <x:v>11</x:v>
      </x:c>
      <x:c r="D298" s="54" t="str">
        <x:v>下应路-大洋江</x:v>
      </x:c>
      <x:c r="E298" s="88" t="n">
        <x:v>61</x:v>
      </x:c>
      <x:c r="F298" s="88" t="n">
        <x:v>3342</x:v>
      </x:c>
      <x:c r="G298" s="54" t="str">
        <x:v>2024-07-15 08:40:14</x:v>
      </x:c>
      <x:c r="H298" s="54" t="str">
        <x:v>2024-07-15 08:41:55</x:v>
      </x:c>
      <x:c r="I298" s="54" t="str">
        <x:v>traceability-cache+mass</x:v>
      </x:c>
      <x:c r="J298" s="54" t="str">
        <x:v>cache+mass</x:v>
      </x:c>
      <x:c r="K298" s="88" t="n">
        <x:v>2034</x:v>
      </x:c>
      <x:c r="L298" s="60" t="n">
        <x:v>101.65</x:v>
      </x:c>
      <x:c r="M298" s="60" t="n">
        <x:v>1.213853194444445</x:v>
      </x:c>
      <x:c r="N298" s="60" t="n">
        <x:v>226.59</x:v>
      </x:c>
      <x:c r="O298" s="60" t="n">
        <x:v>14.145742796541668</x:v>
      </x:c>
      <x:c r="P298" s="60" t="n">
        <x:v>13.94101554248412</x:v>
      </x:c>
      <x:c r="Q298" s="60" t="n">
        <x:v>-0.2047272540575468</x:v>
      </x:c>
      <x:c r="R298" s="63" t="n">
        <x:v>-1.4472711472429591</x:v>
      </x:c>
    </x:row>
    <x:row r="299" ht="15.75" customHeight="1">
      <x:c r="A299" s="70" t="n">
        <x:v>62</x:v>
      </x:c>
      <x:c r="B299" s="54" t="str">
        <x:v>UP062_20240715_081635_R3332</x:v>
      </x:c>
      <x:c r="C299" s="88" t="n">
        <x:v>12</x:v>
      </x:c>
      <x:c r="D299" s="54" t="str">
        <x:v>大洋江-泗港</x:v>
      </x:c>
      <x:c r="E299" s="88" t="n">
        <x:v>61</x:v>
      </x:c>
      <x:c r="F299" s="88" t="n">
        <x:v>3343</x:v>
      </x:c>
      <x:c r="G299" s="54" t="str">
        <x:v>2024-07-15 08:42:24</x:v>
      </x:c>
      <x:c r="H299" s="54" t="str">
        <x:v>2024-07-15 08:43:53</x:v>
      </x:c>
      <x:c r="I299" s="54" t="str">
        <x:v>traceability-cache+mass</x:v>
      </x:c>
      <x:c r="J299" s="54" t="str">
        <x:v>cache+mass</x:v>
      </x:c>
      <x:c r="K299" s="88" t="n">
        <x:v>1794</x:v>
      </x:c>
      <x:c r="L299" s="60" t="n">
        <x:v>89.65</x:v>
      </x:c>
      <x:c r="M299" s="60" t="n">
        <x:v>0.9588494444444424</x:v>
      </x:c>
      <x:c r="N299" s="60" t="n">
        <x:v>225.4</x:v>
      </x:c>
      <x:c r="O299" s="60" t="n">
        <x:v>12.3338747513125</x:v>
      </x:c>
      <x:c r="P299" s="60" t="n">
        <x:v>12.555095352988998</x:v>
      </x:c>
      <x:c r="Q299" s="60" t="n">
        <x:v>0.2212206016764976</x:v>
      </x:c>
      <x:c r="R299" s="63" t="n">
        <x:v>1.7936018172469002</x:v>
      </x:c>
    </x:row>
    <x:row r="300" ht="15.75" customHeight="1">
      <x:c r="A300" s="70" t="n">
        <x:v>62</x:v>
      </x:c>
      <x:c r="B300" s="54" t="str">
        <x:v>UP062_20240715_081635_R3332</x:v>
      </x:c>
      <x:c r="C300" s="88" t="n">
        <x:v>13</x:v>
      </x:c>
      <x:c r="D300" s="54" t="str">
        <x:v>泗港-曹隘</x:v>
      </x:c>
      <x:c r="E300" s="88" t="n">
        <x:v>61</x:v>
      </x:c>
      <x:c r="F300" s="88" t="n">
        <x:v>3344</x:v>
      </x:c>
      <x:c r="G300" s="54" t="str">
        <x:v>2024-07-15 08:44:23</x:v>
      </x:c>
      <x:c r="H300" s="54" t="str">
        <x:v>2024-07-15 08:46:38</x:v>
      </x:c>
      <x:c r="I300" s="54" t="str">
        <x:v>traceability-cache+mass</x:v>
      </x:c>
      <x:c r="J300" s="54" t="str">
        <x:v>cache+mass</x:v>
      </x:c>
      <x:c r="K300" s="88" t="n">
        <x:v>2699</x:v>
      </x:c>
      <x:c r="L300" s="60" t="n">
        <x:v>134.9</x:v>
      </x:c>
      <x:c r="M300" s="60" t="n">
        <x:v>1.799492222222224</x:v>
      </x:c>
      <x:c r="N300" s="60" t="n">
        <x:v>224.8</x:v>
      </x:c>
      <x:c r="O300" s="60" t="n">
        <x:v>23.33334210730556</x:v>
      </x:c>
      <x:c r="P300" s="60" t="n">
        <x:v>23.705276637545804</x:v>
      </x:c>
      <x:c r="Q300" s="60" t="n">
        <x:v>0.3719345302402471</x:v>
      </x:c>
      <x:c r="R300" s="63" t="n">
        <x:v>1.5940045302117103</x:v>
      </x:c>
    </x:row>
    <x:row r="301" ht="15.75" customHeight="1">
      <x:c r="A301" s="70" t="n">
        <x:v>62</x:v>
      </x:c>
      <x:c r="B301" s="54" t="str">
        <x:v>UP062_20240715_081635_R3332</x:v>
      </x:c>
      <x:c r="C301" s="88" t="n">
        <x:v>14</x:v>
      </x:c>
      <x:c r="D301" s="54" t="str">
        <x:v>曹隘-柳隘</x:v>
      </x:c>
      <x:c r="E301" s="88" t="n">
        <x:v>61</x:v>
      </x:c>
      <x:c r="F301" s="88" t="n">
        <x:v>3345</x:v>
      </x:c>
      <x:c r="G301" s="54" t="str">
        <x:v>2024-07-15 08:47:09</x:v>
      </x:c>
      <x:c r="H301" s="54" t="str">
        <x:v>2024-07-15 08:48:56</x:v>
      </x:c>
      <x:c r="I301" s="54" t="str">
        <x:v>traceability-cache+mass</x:v>
      </x:c>
      <x:c r="J301" s="54" t="str">
        <x:v>cache+mass</x:v>
      </x:c>
      <x:c r="K301" s="88" t="n">
        <x:v>2137</x:v>
      </x:c>
      <x:c r="L301" s="60" t="n">
        <x:v>106.8</x:v>
      </x:c>
      <x:c r="M301" s="60" t="n">
        <x:v>1.307844444444447</x:v>
      </x:c>
      <x:c r="N301" s="60" t="n">
        <x:v>228.3</x:v>
      </x:c>
      <x:c r="O301" s="60" t="n">
        <x:v>22.06570782207639</x:v>
      </x:c>
      <x:c r="P301" s="60" t="n">
        <x:v>22.957830210064717</x:v>
      </x:c>
      <x:c r="Q301" s="60" t="n">
        <x:v>0.8921223879883219</x:v>
      </x:c>
      <x:c r="R301" s="63" t="n">
        <x:v>4.043026379130097</x:v>
      </x:c>
    </x:row>
    <x:row r="302" ht="15.75" customHeight="1">
      <x:c r="A302" s="70" t="n">
        <x:v>62</x:v>
      </x:c>
      <x:c r="B302" s="54" t="str">
        <x:v>UP062_20240715_081635_R3332</x:v>
      </x:c>
      <x:c r="C302" s="88" t="n">
        <x:v>15</x:v>
      </x:c>
      <x:c r="D302" s="54" t="str">
        <x:v>柳隘-海晏北路</x:v>
      </x:c>
      <x:c r="E302" s="88" t="n">
        <x:v>61</x:v>
      </x:c>
      <x:c r="F302" s="88" t="n">
        <x:v>3346</x:v>
      </x:c>
      <x:c r="G302" s="54" t="str">
        <x:v>2024-07-15 08:49:26</x:v>
      </x:c>
      <x:c r="H302" s="54" t="str">
        <x:v>2024-07-15 08:50:55</x:v>
      </x:c>
      <x:c r="I302" s="54" t="str">
        <x:v>traceability-cache+mass</x:v>
      </x:c>
      <x:c r="J302" s="54" t="str">
        <x:v>cache+mass</x:v>
      </x:c>
      <x:c r="K302" s="88" t="n">
        <x:v>1781</x:v>
      </x:c>
      <x:c r="L302" s="60" t="n">
        <x:v>89</x:v>
      </x:c>
      <x:c r="M302" s="60" t="n">
        <x:v>0.98116888888889</x:v>
      </x:c>
      <x:c r="N302" s="60" t="n">
        <x:v>229.5</x:v>
      </x:c>
      <x:c r="O302" s="60" t="n">
        <x:v>15.110702126395834</x:v>
      </x:c>
      <x:c r="P302" s="60" t="n">
        <x:v>15.528800182349396</x:v>
      </x:c>
      <x:c r="Q302" s="60" t="n">
        <x:v>0.4180980559535601</x:v>
      </x:c>
      <x:c r="R302" s="63" t="n">
        <x:v>2.766900256892853</x:v>
      </x:c>
    </x:row>
    <x:row r="303" ht="15.75" customHeight="1">
      <x:c r="A303" s="70" t="n">
        <x:v>62</x:v>
      </x:c>
      <x:c r="B303" s="54" t="str">
        <x:v>UP062_20240715_081635_R3332</x:v>
      </x:c>
      <x:c r="C303" s="88" t="n">
        <x:v>16</x:v>
      </x:c>
      <x:c r="D303" s="54" t="str">
        <x:v>海晏北路-民安东路</x:v>
      </x:c>
      <x:c r="E303" s="88" t="n">
        <x:v>61</x:v>
      </x:c>
      <x:c r="F303" s="88" t="n">
        <x:v>3347</x:v>
      </x:c>
      <x:c r="G303" s="54" t="str">
        <x:v>2024-07-15 08:51:44</x:v>
      </x:c>
      <x:c r="H303" s="54" t="str">
        <x:v>2024-07-15 08:53:07</x:v>
      </x:c>
      <x:c r="I303" s="54" t="str">
        <x:v>traceability-cache+mass</x:v>
      </x:c>
      <x:c r="J303" s="54" t="str">
        <x:v>cache+mass</x:v>
      </x:c>
      <x:c r="K303" s="88" t="n">
        <x:v>1675</x:v>
      </x:c>
      <x:c r="L303" s="60" t="n">
        <x:v>83.7</x:v>
      </x:c>
      <x:c r="M303" s="60" t="n">
        <x:v>0.8655188888888872</x:v>
      </x:c>
      <x:c r="N303" s="60" t="n">
        <x:v>231.7</x:v>
      </x:c>
      <x:c r="O303" s="60" t="n">
        <x:v>16.50807286534722</x:v>
      </x:c>
      <x:c r="P303" s="60" t="n">
        <x:v>16.905410266807095</x:v>
      </x:c>
      <x:c r="Q303" s="60" t="n">
        <x:v>0.3973374014598739</x:v>
      </x:c>
      <x:c r="R303" s="63" t="n">
        <x:v>2.4069278388874893</x:v>
      </x:c>
    </x:row>
    <x:row r="304" ht="15.75" customHeight="1">
      <x:c r="A304" s="70" t="n">
        <x:v>62</x:v>
      </x:c>
      <x:c r="B304" s="54" t="str">
        <x:v>UP062_20240715_081635_R3332</x:v>
      </x:c>
      <x:c r="C304" s="88" t="n">
        <x:v>17</x:v>
      </x:c>
      <x:c r="D304" s="54" t="str">
        <x:v>民安东路-会展中心</x:v>
      </x:c>
      <x:c r="E304" s="88" t="n">
        <x:v>60</x:v>
      </x:c>
      <x:c r="F304" s="88" t="n">
        <x:v>3348</x:v>
      </x:c>
      <x:c r="G304" s="54" t="str">
        <x:v>2024-07-15 08:53:39</x:v>
      </x:c>
      <x:c r="H304" s="54" t="str">
        <x:v>2024-07-15 08:54:55</x:v>
      </x:c>
      <x:c r="I304" s="54" t="str">
        <x:v>traceability-cache+mass</x:v>
      </x:c>
      <x:c r="J304" s="54" t="str">
        <x:v>cache+mass</x:v>
      </x:c>
      <x:c r="K304" s="88" t="n">
        <x:v>1531</x:v>
      </x:c>
      <x:c r="L304" s="60" t="n">
        <x:v>76.5</x:v>
      </x:c>
      <x:c r="M304" s="60" t="n">
        <x:v>0.7259526388888894</x:v>
      </x:c>
      <x:c r="N304" s="60" t="n">
        <x:v>222.83</x:v>
      </x:c>
      <x:c r="O304" s="60" t="n">
        <x:v>12.839792905048611</x:v>
      </x:c>
      <x:c r="P304" s="60" t="n">
        <x:v>13.286032398742972</x:v>
      </x:c>
      <x:c r="Q304" s="60" t="n">
        <x:v>0.4462394936943601</x:v>
      </x:c>
      <x:c r="R304" s="63" t="n">
        <x:v>3.4754415199243485</x:v>
      </x:c>
    </x:row>
    <x:row r="305" ht="15.75" customHeight="1">
      <x:c r="A305" s="70" t="n">
        <x:v>62</x:v>
      </x:c>
      <x:c r="B305" s="54" t="str">
        <x:v>UP062_20240715_081635_R3332</x:v>
      </x:c>
      <x:c r="C305" s="88" t="n">
        <x:v>18</x:v>
      </x:c>
      <x:c r="D305" s="54" t="str">
        <x:v>会展中心-院士路</x:v>
      </x:c>
      <x:c r="E305" s="88" t="n">
        <x:v>60</x:v>
      </x:c>
      <x:c r="F305" s="88" t="n">
        <x:v>3349</x:v>
      </x:c>
      <x:c r="G305" s="54" t="str">
        <x:v>2024-07-15 08:55:25</x:v>
      </x:c>
      <x:c r="H305" s="54" t="str">
        <x:v>2024-07-15 08:57:20</x:v>
      </x:c>
      <x:c r="I305" s="54" t="str">
        <x:v>traceability-cache+mass</x:v>
      </x:c>
      <x:c r="J305" s="54" t="str">
        <x:v>cache+mass</x:v>
      </x:c>
      <x:c r="K305" s="88" t="n">
        <x:v>2300</x:v>
      </x:c>
      <x:c r="L305" s="60" t="n">
        <x:v>114.95</x:v>
      </x:c>
      <x:c r="M305" s="60" t="n">
        <x:v>1.552133055555556</x:v>
      </x:c>
      <x:c r="N305" s="60" t="n">
        <x:v>219.42</x:v>
      </x:c>
      <x:c r="O305" s="60" t="n">
        <x:v>14.968503305305552</x:v>
      </x:c>
      <x:c r="P305" s="60" t="n">
        <x:v>15.242089841463534</x:v>
      </x:c>
      <x:c r="Q305" s="60" t="n">
        <x:v>0.2735865361579799</x:v>
      </x:c>
      <x:c r="R305" s="63" t="n">
        <x:v>1.827748109331731</x:v>
      </x:c>
    </x:row>
    <x:row r="306" ht="15.75" customHeight="1">
      <x:c r="A306" s="70" t="n">
        <x:v>62</x:v>
      </x:c>
      <x:c r="B306" s="54" t="str">
        <x:v>UP062_20240715_081635_R3332</x:v>
      </x:c>
      <x:c r="C306" s="88" t="n">
        <x:v>19</x:v>
      </x:c>
      <x:c r="D306" s="54" t="str">
        <x:v>院士路-盎孟港</x:v>
      </x:c>
      <x:c r="E306" s="88" t="n">
        <x:v>60</x:v>
      </x:c>
      <x:c r="F306" s="88" t="n">
        <x:v>3350</x:v>
      </x:c>
      <x:c r="G306" s="54" t="str">
        <x:v>2024-07-15 08:57:49</x:v>
      </x:c>
      <x:c r="H306" s="54" t="str">
        <x:v>2024-07-15 08:59:20</x:v>
      </x:c>
      <x:c r="I306" s="54" t="str">
        <x:v>traceability-cache+mass</x:v>
      </x:c>
      <x:c r="J306" s="54" t="str">
        <x:v>cache+mass</x:v>
      </x:c>
      <x:c r="K306" s="88" t="n">
        <x:v>1810</x:v>
      </x:c>
      <x:c r="L306" s="60" t="n">
        <x:v>90.45</x:v>
      </x:c>
      <x:c r="M306" s="60" t="n">
        <x:v>0.9943163888888876</x:v>
      </x:c>
      <x:c r="N306" s="60" t="n">
        <x:v>217.42</x:v>
      </x:c>
      <x:c r="O306" s="60" t="n">
        <x:v>18.705792334048613</x:v>
      </x:c>
      <x:c r="P306" s="60" t="n">
        <x:v>18.776611371979797</x:v>
      </x:c>
      <x:c r="Q306" s="60" t="n">
        <x:v>0.0708190379311818</x:v>
      </x:c>
      <x:c r="R306" s="63" t="n">
        <x:v>0.3785941630618648</x:v>
      </x:c>
    </x:row>
    <x:row r="307" ht="15.75" customHeight="1">
      <x:c r="A307" s="70" t="n">
        <x:v>62</x:v>
      </x:c>
      <x:c r="B307" s="54" t="str">
        <x:v>UP062_20240715_081635_R3332</x:v>
      </x:c>
      <x:c r="C307" s="88" t="n">
        <x:v>20</x:v>
      </x:c>
      <x:c r="D307" s="54" t="str">
        <x:v>盎孟港-三官堂</x:v>
      </x:c>
      <x:c r="E307" s="88" t="n">
        <x:v>60</x:v>
      </x:c>
      <x:c r="F307" s="88" t="n">
        <x:v>3351</x:v>
      </x:c>
      <x:c r="G307" s="54" t="str">
        <x:v>2024-07-15 08:59:49</x:v>
      </x:c>
      <x:c r="H307" s="54" t="str">
        <x:v>2024-07-15 09:02:01</x:v>
      </x:c>
      <x:c r="I307" s="54" t="str">
        <x:v>traceability-cache+mass</x:v>
      </x:c>
      <x:c r="J307" s="54" t="str">
        <x:v>cache+mass</x:v>
      </x:c>
      <x:c r="K307" s="88" t="n">
        <x:v>2631</x:v>
      </x:c>
      <x:c r="L307" s="60" t="n">
        <x:v>131.5</x:v>
      </x:c>
      <x:c r="M307" s="60" t="n">
        <x:v>1.878345555555557</x:v>
      </x:c>
      <x:c r="N307" s="60" t="n">
        <x:v>216.14</x:v>
      </x:c>
      <x:c r="O307" s="60" t="n">
        <x:v>19.12867716486111</x:v>
      </x:c>
      <x:c r="P307" s="60" t="n">
        <x:v>17.942505652437227</x:v>
      </x:c>
      <x:c r="Q307" s="60" t="n">
        <x:v>-1.1861715124238836</x:v>
      </x:c>
      <x:c r="R307" s="63" t="n">
        <x:v>-6.201011717646896</x:v>
      </x:c>
    </x:row>
    <x:row r="308" ht="15.75" customHeight="1">
      <x:c r="A308" s="70" t="n">
        <x:v>62</x:v>
      </x:c>
      <x:c r="B308" s="54" t="str">
        <x:v>UP062_20240715_081635_R3332</x:v>
      </x:c>
      <x:c r="C308" s="88" t="n">
        <x:v>21</x:v>
      </x:c>
      <x:c r="D308" s="54" t="str">
        <x:v>三官堂-兴庄路</x:v>
      </x:c>
      <x:c r="E308" s="88" t="n">
        <x:v>60</x:v>
      </x:c>
      <x:c r="F308" s="88" t="n">
        <x:v>3352</x:v>
      </x:c>
      <x:c r="G308" s="54" t="str">
        <x:v>2024-07-15 09:02:30</x:v>
      </x:c>
      <x:c r="H308" s="54" t="str">
        <x:v>2024-07-15 09:04:09</x:v>
      </x:c>
      <x:c r="I308" s="54" t="str">
        <x:v>traceability-cache+mass</x:v>
      </x:c>
      <x:c r="J308" s="54" t="str">
        <x:v>cache+mass</x:v>
      </x:c>
      <x:c r="K308" s="88" t="n">
        <x:v>1980</x:v>
      </x:c>
      <x:c r="L308" s="60" t="n">
        <x:v>98.95</x:v>
      </x:c>
      <x:c r="M308" s="60" t="n">
        <x:v>1.080618750000003</x:v>
      </x:c>
      <x:c r="N308" s="60" t="n">
        <x:v>215.64</x:v>
      </x:c>
      <x:c r="O308" s="60" t="n">
        <x:v>12.221467651229167</x:v>
      </x:c>
      <x:c r="P308" s="60" t="n">
        <x:v>12.256236987374525</x:v>
      </x:c>
      <x:c r="Q308" s="60" t="n">
        <x:v>0.0347693361453566</x:v>
      </x:c>
      <x:c r="R308" s="63" t="n">
        <x:v>0.2844939506251505</x:v>
      </x:c>
    </x:row>
    <x:row r="309" ht="15.75" customHeight="1">
      <x:c r="A309" s="70" t="n">
        <x:v>62</x:v>
      </x:c>
      <x:c r="B309" s="54" t="str">
        <x:v>UP062_20240715_081635_R3332</x:v>
      </x:c>
      <x:c r="C309" s="88" t="n">
        <x:v>22</x:v>
      </x:c>
      <x:c r="D309" s="54" t="str">
        <x:v>兴庄路-兴海南路</x:v>
      </x:c>
      <x:c r="E309" s="88" t="n">
        <x:v>60</x:v>
      </x:c>
      <x:c r="F309" s="88" t="n">
        <x:v>3353</x:v>
      </x:c>
      <x:c r="G309" s="54" t="str">
        <x:v>2024-07-15 09:04:40</x:v>
      </x:c>
      <x:c r="H309" s="54" t="str">
        <x:v>2024-07-15 09:06:08</x:v>
      </x:c>
      <x:c r="I309" s="54" t="str">
        <x:v>traceability-cache+mass</x:v>
      </x:c>
      <x:c r="J309" s="54" t="str">
        <x:v>cache+mass</x:v>
      </x:c>
      <x:c r="K309" s="88" t="n">
        <x:v>1764</x:v>
      </x:c>
      <x:c r="L309" s="60" t="n">
        <x:v>88.15</x:v>
      </x:c>
      <x:c r="M309" s="60" t="n">
        <x:v>0.9588755555555564</x:v>
      </x:c>
      <x:c r="N309" s="60" t="n">
        <x:v>215.44</x:v>
      </x:c>
      <x:c r="O309" s="60" t="n">
        <x:v>14.574294775381942</x:v>
      </x:c>
      <x:c r="P309" s="60" t="n">
        <x:v>14.74864534685661</x:v>
      </x:c>
      <x:c r="Q309" s="60" t="n">
        <x:v>0.1743505714746679</x:v>
      </x:c>
      <x:c r="R309" s="63" t="n">
        <x:v>1.1962882195107711</x:v>
      </x:c>
    </x:row>
    <x:row r="310" ht="15.75" customHeight="1">
      <x:c r="A310" s="70" t="n">
        <x:v>62</x:v>
      </x:c>
      <x:c r="B310" s="54" t="str">
        <x:v>UP062_20240715_081635_R3332</x:v>
      </x:c>
      <x:c r="C310" s="88" t="n">
        <x:v>23</x:v>
      </x:c>
      <x:c r="D310" s="54" t="str">
        <x:v>兴海南路-梅堰</x:v>
      </x:c>
      <x:c r="E310" s="88" t="n">
        <x:v>60</x:v>
      </x:c>
      <x:c r="F310" s="88" t="n">
        <x:v>3354</x:v>
      </x:c>
      <x:c r="G310" s="54" t="str">
        <x:v>2024-07-15 09:06:37</x:v>
      </x:c>
      <x:c r="H310" s="54" t="str">
        <x:v>2024-07-15 09:07:58</x:v>
      </x:c>
      <x:c r="I310" s="54" t="str">
        <x:v>traceability-cache+mass</x:v>
      </x:c>
      <x:c r="J310" s="54" t="str">
        <x:v>cache+mass</x:v>
      </x:c>
      <x:c r="K310" s="88" t="n">
        <x:v>1628</x:v>
      </x:c>
      <x:c r="L310" s="60" t="n">
        <x:v>81.35</x:v>
      </x:c>
      <x:c r="M310" s="60" t="n">
        <x:v>0.8341040277777775</x:v>
      </x:c>
      <x:c r="N310" s="60" t="n">
        <x:v>215.44</x:v>
      </x:c>
      <x:c r="O310" s="60" t="n">
        <x:v>12.925196212222222</x:v>
      </x:c>
      <x:c r="P310" s="60" t="n">
        <x:v>13.737434322276776</x:v>
      </x:c>
      <x:c r="Q310" s="60" t="n">
        <x:v>0.8122381100545536</x:v>
      </x:c>
      <x:c r="R310" s="63" t="n">
        <x:v>6.284145298208251</x:v>
      </x:c>
    </x:row>
    <x:row r="311" ht="15.75" customHeight="1">
      <x:c r="A311" s="70" t="n">
        <x:v>62</x:v>
      </x:c>
      <x:c r="B311" s="54" t="str">
        <x:v>UP062_20240715_081635_R3332</x:v>
      </x:c>
      <x:c r="C311" s="88" t="n">
        <x:v>24</x:v>
      </x:c>
      <x:c r="D311" s="54" t="str">
        <x:v>梅堰-永茂路</x:v>
      </x:c>
      <x:c r="E311" s="88" t="n">
        <x:v>48</x:v>
      </x:c>
      <x:c r="F311" s="88" t="n">
        <x:v>3355</x:v>
      </x:c>
      <x:c r="G311" s="54" t="str">
        <x:v>2024-07-15 09:08:28</x:v>
      </x:c>
      <x:c r="H311" s="54" t="str">
        <x:v>2024-07-15 09:13:41</x:v>
      </x:c>
      <x:c r="I311" s="54" t="str">
        <x:v>traceability-cache+mass</x:v>
      </x:c>
      <x:c r="J311" s="54" t="str">
        <x:v>cache+mass</x:v>
      </x:c>
      <x:c r="K311" s="88" t="n">
        <x:v>6255</x:v>
      </x:c>
      <x:c r="L311" s="60" t="n">
        <x:v>312.7</x:v>
      </x:c>
      <x:c r="M311" s="60" t="n">
        <x:v>3.678435277777793</x:v>
      </x:c>
      <x:c r="N311" s="60" t="n">
        <x:v>215.44</x:v>
      </x:c>
      <x:c r="O311" s="60" t="n">
        <x:v>30.484370836472223</x:v>
      </x:c>
      <x:c r="P311" s="60" t="n">
        <x:v>29.539227832470782</x:v>
      </x:c>
      <x:c r="Q311" s="60" t="n">
        <x:v>-0.9451430040014348</x:v>
      </x:c>
      <x:c r="R311" s="63" t="n">
        <x:v>-3.1004182735851096</x:v>
      </x:c>
    </x:row>
    <x:row r="312" ht="15.75" customHeight="1">
      <x:c r="A312" s="70" t="n">
        <x:v>62</x:v>
      </x:c>
      <x:c r="B312" s="54" t="str">
        <x:v>UP062_20240715_081635_R3332</x:v>
      </x:c>
      <x:c r="C312" s="88" t="n">
        <x:v>25</x:v>
      </x:c>
      <x:c r="D312" s="54" t="str">
        <x:v>永茂路-镇海大道</x:v>
      </x:c>
      <x:c r="E312" s="88" t="n">
        <x:v>60</x:v>
      </x:c>
      <x:c r="F312" s="88" t="n">
        <x:v>3356</x:v>
      </x:c>
      <x:c r="G312" s="54" t="str">
        <x:v>2024-07-15 09:14:09</x:v>
      </x:c>
      <x:c r="H312" s="54" t="str">
        <x:v>2024-07-15 09:16:31</x:v>
      </x:c>
      <x:c r="I312" s="54" t="str">
        <x:v>traceability-cache+mass</x:v>
      </x:c>
      <x:c r="J312" s="54" t="str">
        <x:v>cache+mass</x:v>
      </x:c>
      <x:c r="K312" s="88" t="n">
        <x:v>2856</x:v>
      </x:c>
      <x:c r="L312" s="60" t="n">
        <x:v>142.75</x:v>
      </x:c>
      <x:c r="M312" s="60" t="n">
        <x:v>2.1329018055555538</x:v>
      </x:c>
      <x:c r="N312" s="60" t="n">
        <x:v>215.34</x:v>
      </x:c>
      <x:c r="O312" s="60" t="n">
        <x:v>17.88234054821528</x:v>
      </x:c>
      <x:c r="P312" s="60" t="n">
        <x:v>17.445257039477344</x:v>
      </x:c>
      <x:c r="Q312" s="60" t="n">
        <x:v>-0.4370835087379346</x:v>
      </x:c>
      <x:c r="R312" s="63" t="n">
        <x:v>-2.444218683563529</x:v>
      </x:c>
    </x:row>
    <x:row r="313" ht="15.75" customHeight="1">
      <x:c r="A313" s="70" t="n">
        <x:v>62</x:v>
      </x:c>
      <x:c r="B313" s="54" t="str">
        <x:v>UP062_20240715_081635_R3332</x:v>
      </x:c>
      <x:c r="C313" s="88" t="n">
        <x:v>26</x:v>
      </x:c>
      <x:c r="D313" s="54" t="str">
        <x:v>镇海大道-骆驼桥</x:v>
      </x:c>
      <x:c r="E313" s="88" t="n">
        <x:v>60</x:v>
      </x:c>
      <x:c r="F313" s="88" t="n">
        <x:v>3357</x:v>
      </x:c>
      <x:c r="G313" s="54" t="str">
        <x:v>2024-07-15 09:16:58</x:v>
      </x:c>
      <x:c r="H313" s="54" t="str">
        <x:v>2024-07-15 09:18:56</x:v>
      </x:c>
      <x:c r="I313" s="54" t="str">
        <x:v>traceability-cache+mass</x:v>
      </x:c>
      <x:c r="J313" s="54" t="str">
        <x:v>cache+mass</x:v>
      </x:c>
      <x:c r="K313" s="88" t="n">
        <x:v>2355</x:v>
      </x:c>
      <x:c r="L313" s="60" t="n">
        <x:v>117.7</x:v>
      </x:c>
      <x:c r="M313" s="60" t="n">
        <x:v>1.597928055555553</x:v>
      </x:c>
      <x:c r="N313" s="60" t="n">
        <x:v>215.44</x:v>
      </x:c>
      <x:c r="O313" s="60" t="n">
        <x:v>19.61726940545833</x:v>
      </x:c>
      <x:c r="P313" s="60" t="n">
        <x:v>18.233108444932324</x:v>
      </x:c>
      <x:c r="Q313" s="60" t="n">
        <x:v>-1.3841609605260092</x:v>
      </x:c>
      <x:c r="R313" s="63" t="n">
        <x:v>-7.055828881775353</x:v>
      </x:c>
    </x:row>
    <x:row r="314" ht="15.75" customHeight="1">
      <x:c r="A314" s="70" t="n">
        <x:v>67</x:v>
      </x:c>
      <x:c r="B314" s="54" t="str">
        <x:v>UP067_20240716_074738_R3654</x:v>
      </x:c>
      <x:c r="C314" s="88" t="n">
        <x:v>1</x:v>
      </x:c>
      <x:c r="D314" s="54" t="str">
        <x:v>布政-张家潭</x:v>
      </x:c>
      <x:c r="E314" s="88" t="n">
        <x:v>66</x:v>
      </x:c>
      <x:c r="F314" s="88" t="n">
        <x:v>3654</x:v>
      </x:c>
      <x:c r="G314" s="54" t="str">
        <x:v>2024-07-16 07:47:38</x:v>
      </x:c>
      <x:c r="H314" s="54" t="str">
        <x:v>2024-07-16 07:49:34</x:v>
      </x:c>
      <x:c r="I314" s="54" t="str">
        <x:v>traceability-cache+mass</x:v>
      </x:c>
      <x:c r="J314" s="54" t="str">
        <x:v>cache+mass</x:v>
      </x:c>
      <x:c r="K314" s="88" t="n">
        <x:v>2338</x:v>
      </x:c>
      <x:c r="L314" s="60" t="n">
        <x:v>116.85</x:v>
      </x:c>
      <x:c r="M314" s="60" t="n">
        <x:v>1.428355277777779</x:v>
      </x:c>
      <x:c r="N314" s="60" t="n">
        <x:v>215.34</x:v>
      </x:c>
      <x:c r="O314" s="60" t="n">
        <x:v>13.448762468548612</x:v>
      </x:c>
      <x:c r="P314" s="60" t="n">
        <x:v>13.280480547853648</x:v>
      </x:c>
      <x:c r="Q314" s="60" t="n">
        <x:v>-0.1682819206949643</x:v>
      </x:c>
      <x:c r="R314" s="63" t="n">
        <x:v>-1.2512818267740982</x:v>
      </x:c>
    </x:row>
    <x:row r="315" ht="15.75" customHeight="1">
      <x:c r="A315" s="70" t="n">
        <x:v>67</x:v>
      </x:c>
      <x:c r="B315" s="54" t="str">
        <x:v>UP067_20240716_074738_R3654</x:v>
      </x:c>
      <x:c r="C315" s="88" t="n">
        <x:v>2</x:v>
      </x:c>
      <x:c r="D315" s="54" t="str">
        <x:v>张家潭-同德路</x:v>
      </x:c>
      <x:c r="E315" s="88" t="n">
        <x:v>66</x:v>
      </x:c>
      <x:c r="F315" s="88" t="n">
        <x:v>3655</x:v>
      </x:c>
      <x:c r="G315" s="54" t="str">
        <x:v>2024-07-16 07:50:04</x:v>
      </x:c>
      <x:c r="H315" s="54" t="str">
        <x:v>2024-07-16 07:52:36</x:v>
      </x:c>
      <x:c r="I315" s="54" t="str">
        <x:v>traceability-cache+mass</x:v>
      </x:c>
      <x:c r="J315" s="54" t="str">
        <x:v>cache+mass</x:v>
      </x:c>
      <x:c r="K315" s="88" t="n">
        <x:v>3031</x:v>
      </x:c>
      <x:c r="L315" s="60" t="n">
        <x:v>151.5</x:v>
      </x:c>
      <x:c r="M315" s="60" t="n">
        <x:v>2.021088472222229</x:v>
      </x:c>
      <x:c r="N315" s="60" t="n">
        <x:v>215.84</x:v>
      </x:c>
      <x:c r="O315" s="60" t="n">
        <x:v>17.940645648131948</x:v>
      </x:c>
      <x:c r="P315" s="60" t="n">
        <x:v>16.944218944051435</x:v>
      </x:c>
      <x:c r="Q315" s="60" t="n">
        <x:v>-0.9964267040805136</x:v>
      </x:c>
      <x:c r="R315" s="63" t="n">
        <x:v>-5.554018086212329</x:v>
      </x:c>
    </x:row>
    <x:row r="316" ht="15.75" customHeight="1">
      <x:c r="A316" s="70" t="n">
        <x:v>67</x:v>
      </x:c>
      <x:c r="B316" s="54" t="str">
        <x:v>UP067_20240716_074738_R3654</x:v>
      </x:c>
      <x:c r="C316" s="88" t="n">
        <x:v>3</x:v>
      </x:c>
      <x:c r="D316" s="54" t="str">
        <x:v>同德路-石碶</x:v>
      </x:c>
      <x:c r="E316" s="88" t="n">
        <x:v>66</x:v>
      </x:c>
      <x:c r="F316" s="88" t="n">
        <x:v>3656</x:v>
      </x:c>
      <x:c r="G316" s="54" t="str">
        <x:v>2024-07-16 07:53:06</x:v>
      </x:c>
      <x:c r="H316" s="54" t="str">
        <x:v>2024-07-16 07:54:51</x:v>
      </x:c>
      <x:c r="I316" s="54" t="str">
        <x:v>traceability-cache+mass</x:v>
      </x:c>
      <x:c r="J316" s="54" t="str">
        <x:v>cache+mass</x:v>
      </x:c>
      <x:c r="K316" s="88" t="n">
        <x:v>2117</x:v>
      </x:c>
      <x:c r="L316" s="60" t="n">
        <x:v>105.8</x:v>
      </x:c>
      <x:c r="M316" s="60" t="n">
        <x:v>1.33055527777778</x:v>
      </x:c>
      <x:c r="N316" s="60" t="n">
        <x:v>216.72</x:v>
      </x:c>
      <x:c r="O316" s="60" t="n">
        <x:v>15.801190942208333</x:v>
      </x:c>
      <x:c r="P316" s="60" t="n">
        <x:v>15.24175448502976</x:v>
      </x:c>
      <x:c r="Q316" s="60" t="n">
        <x:v>-0.5594364571785736</x:v>
      </x:c>
      <x:c r="R316" s="63" t="n">
        <x:v>-3.5404702039527924</x:v>
      </x:c>
    </x:row>
    <x:row r="317" ht="15.75" customHeight="1">
      <x:c r="A317" s="70" t="n">
        <x:v>67</x:v>
      </x:c>
      <x:c r="B317" s="54" t="str">
        <x:v>UP067_20240716_074738_R3654</x:v>
      </x:c>
      <x:c r="C317" s="88" t="n">
        <x:v>4</x:v>
      </x:c>
      <x:c r="D317" s="54" t="str">
        <x:v>石碶-雅渡</x:v>
      </x:c>
      <x:c r="E317" s="88" t="n">
        <x:v>66</x:v>
      </x:c>
      <x:c r="F317" s="88" t="n">
        <x:v>3657</x:v>
      </x:c>
      <x:c r="G317" s="54" t="str">
        <x:v>2024-07-16 07:55:26</x:v>
      </x:c>
      <x:c r="H317" s="54" t="str">
        <x:v>2024-07-16 07:56:48</x:v>
      </x:c>
      <x:c r="I317" s="54" t="str">
        <x:v>traceability-cache+mass</x:v>
      </x:c>
      <x:c r="J317" s="54" t="str">
        <x:v>cache+mass</x:v>
      </x:c>
      <x:c r="K317" s="88" t="n">
        <x:v>1643</x:v>
      </x:c>
      <x:c r="L317" s="60" t="n">
        <x:v>82.1</x:v>
      </x:c>
      <x:c r="M317" s="60" t="n">
        <x:v>0.8274876388888901</x:v>
      </x:c>
      <x:c r="N317" s="60" t="n">
        <x:v>224.8</x:v>
      </x:c>
      <x:c r="O317" s="60" t="n">
        <x:v>13.696031110909724</x:v>
      </x:c>
      <x:c r="P317" s="60" t="n">
        <x:v>14.208999720299284</x:v>
      </x:c>
      <x:c r="Q317" s="60" t="n">
        <x:v>0.5129686093895616</x:v>
      </x:c>
      <x:c r="R317" s="63" t="n">
        <x:v>3.7453814556609095</x:v>
      </x:c>
    </x:row>
    <x:row r="318" ht="15.75" customHeight="1">
      <x:c r="A318" s="70" t="n">
        <x:v>67</x:v>
      </x:c>
      <x:c r="B318" s="54" t="str">
        <x:v>UP067_20240716_074738_R3654</x:v>
      </x:c>
      <x:c r="C318" s="88" t="n">
        <x:v>5</x:v>
      </x:c>
      <x:c r="D318" s="54" t="str">
        <x:v>雅渡-庙堰</x:v>
      </x:c>
      <x:c r="E318" s="88" t="n">
        <x:v>66</x:v>
      </x:c>
      <x:c r="F318" s="88" t="n">
        <x:v>3658</x:v>
      </x:c>
      <x:c r="G318" s="54" t="str">
        <x:v>2024-07-16 07:57:17</x:v>
      </x:c>
      <x:c r="H318" s="54" t="str">
        <x:v>2024-07-16 07:59:27</x:v>
      </x:c>
      <x:c r="I318" s="54" t="str">
        <x:v>traceability-cache+mass</x:v>
      </x:c>
      <x:c r="J318" s="54" t="str">
        <x:v>cache+mass</x:v>
      </x:c>
      <x:c r="K318" s="88" t="n">
        <x:v>2602</x:v>
      </x:c>
      <x:c r="L318" s="60" t="n">
        <x:v>130.05</x:v>
      </x:c>
      <x:c r="M318" s="60" t="n">
        <x:v>1.861228333333335</x:v>
      </x:c>
      <x:c r="N318" s="60" t="n">
        <x:v>229.2</x:v>
      </x:c>
      <x:c r="O318" s="60" t="n">
        <x:v>22.986279607875</x:v>
      </x:c>
      <x:c r="P318" s="60" t="n">
        <x:v>22.145524678285547</x:v>
      </x:c>
      <x:c r="Q318" s="60" t="n">
        <x:v>-0.8407549295894532</x:v>
      </x:c>
      <x:c r="R318" s="63" t="n">
        <x:v>-3.657638138628637</x:v>
      </x:c>
    </x:row>
    <x:row r="319" ht="15.75" customHeight="1">
      <x:c r="A319" s="70" t="n">
        <x:v>67</x:v>
      </x:c>
      <x:c r="B319" s="54" t="str">
        <x:v>UP067_20240716_074738_R3654</x:v>
      </x:c>
      <x:c r="C319" s="88" t="n">
        <x:v>6</x:v>
      </x:c>
      <x:c r="D319" s="54" t="str">
        <x:v>庙堰-钟公庙</x:v>
      </x:c>
      <x:c r="E319" s="88" t="n">
        <x:v>66</x:v>
      </x:c>
      <x:c r="F319" s="88" t="n">
        <x:v>3659</x:v>
      </x:c>
      <x:c r="G319" s="54" t="str">
        <x:v>2024-07-16 07:59:56</x:v>
      </x:c>
      <x:c r="H319" s="54" t="str">
        <x:v>2024-07-16 08:01:31</x:v>
      </x:c>
      <x:c r="I319" s="54" t="str">
        <x:v>traceability-cache+mass</x:v>
      </x:c>
      <x:c r="J319" s="54" t="str">
        <x:v>cache+mass</x:v>
      </x:c>
      <x:c r="K319" s="88" t="n">
        <x:v>1894</x:v>
      </x:c>
      <x:c r="L319" s="60" t="n">
        <x:v>94.65</x:v>
      </x:c>
      <x:c r="M319" s="60" t="n">
        <x:v>1.087595138888888</x:v>
      </x:c>
      <x:c r="N319" s="60" t="n">
        <x:v>232</x:v>
      </x:c>
      <x:c r="O319" s="60" t="n">
        <x:v>16.871147974520834</x:v>
      </x:c>
      <x:c r="P319" s="60" t="n">
        <x:v>16.78323069466179</x:v>
      </x:c>
      <x:c r="Q319" s="60" t="n">
        <x:v>-0.0879172798590443</x:v>
      </x:c>
      <x:c r="R319" s="63" t="n">
        <x:v>-0.5211102409380731</x:v>
      </x:c>
    </x:row>
    <x:row r="320" ht="15.75" customHeight="1">
      <x:c r="A320" s="70" t="n">
        <x:v>67</x:v>
      </x:c>
      <x:c r="B320" s="54" t="str">
        <x:v>UP067_20240716_074738_R3654</x:v>
      </x:c>
      <x:c r="C320" s="88" t="n">
        <x:v>7</x:v>
      </x:c>
      <x:c r="D320" s="54" t="str">
        <x:v>钟公庙-鄞州区政府</x:v>
      </x:c>
      <x:c r="E320" s="88" t="n">
        <x:v>66</x:v>
      </x:c>
      <x:c r="F320" s="88" t="n">
        <x:v>3660</x:v>
      </x:c>
      <x:c r="G320" s="54" t="str">
        <x:v>2024-07-16 08:02:00</x:v>
      </x:c>
      <x:c r="H320" s="54" t="str">
        <x:v>2024-07-16 08:03:29</x:v>
      </x:c>
      <x:c r="I320" s="54" t="str">
        <x:v>traceability-cache+mass</x:v>
      </x:c>
      <x:c r="J320" s="54" t="str">
        <x:v>cache+mass</x:v>
      </x:c>
      <x:c r="K320" s="88" t="n">
        <x:v>1794</x:v>
      </x:c>
      <x:c r="L320" s="60" t="n">
        <x:v>89.65</x:v>
      </x:c>
      <x:c r="M320" s="60" t="n">
        <x:v>0.9853065277777776</x:v>
      </x:c>
      <x:c r="N320" s="60" t="n">
        <x:v>234.1</x:v>
      </x:c>
      <x:c r="O320" s="60" t="n">
        <x:v>13.86672766876389</x:v>
      </x:c>
      <x:c r="P320" s="60" t="n">
        <x:v>14.245189866416943</x:v>
      </x:c>
      <x:c r="Q320" s="60" t="n">
        <x:v>0.3784621976530543</x:v>
      </x:c>
      <x:c r="R320" s="63" t="n">
        <x:v>2.729282687981073</x:v>
      </x:c>
    </x:row>
    <x:row r="321" ht="15.75" customHeight="1">
      <x:c r="A321" s="70" t="n">
        <x:v>67</x:v>
      </x:c>
      <x:c r="B321" s="54" t="str">
        <x:v>UP067_20240716_074738_R3654</x:v>
      </x:c>
      <x:c r="C321" s="88" t="n">
        <x:v>8</x:v>
      </x:c>
      <x:c r="D321" s="54" t="str">
        <x:v>鄞州区政府-钱湖南路</x:v>
      </x:c>
      <x:c r="E321" s="88" t="n">
        <x:v>66</x:v>
      </x:c>
      <x:c r="F321" s="88" t="n">
        <x:v>3661</x:v>
      </x:c>
      <x:c r="G321" s="54" t="str">
        <x:v>2024-07-16 08:04:09</x:v>
      </x:c>
      <x:c r="H321" s="54" t="str">
        <x:v>2024-07-16 08:06:17</x:v>
      </x:c>
      <x:c r="I321" s="54" t="str">
        <x:v>traceability-cache+mass</x:v>
      </x:c>
      <x:c r="J321" s="54" t="str">
        <x:v>cache+mass</x:v>
      </x:c>
      <x:c r="K321" s="88" t="n">
        <x:v>2563</x:v>
      </x:c>
      <x:c r="L321" s="60" t="n">
        <x:v>128.1</x:v>
      </x:c>
      <x:c r="M321" s="60" t="n">
        <x:v>1.812871111111106</x:v>
      </x:c>
      <x:c r="N321" s="60" t="n">
        <x:v>235.5</x:v>
      </x:c>
      <x:c r="O321" s="60" t="n">
        <x:v>19.12841852416667</x:v>
      </x:c>
      <x:c r="P321" s="60" t="n">
        <x:v>18.38407694603828</x:v>
      </x:c>
      <x:c r="Q321" s="60" t="n">
        <x:v>-0.7443415781283911</x:v>
      </x:c>
      <x:c r="R321" s="63" t="n">
        <x:v>-3.8912865545470834</x:v>
      </x:c>
    </x:row>
    <x:row r="322" ht="15.75" customHeight="1">
      <x:c r="A322" s="70" t="n">
        <x:v>67</x:v>
      </x:c>
      <x:c r="B322" s="54" t="str">
        <x:v>UP067_20240716_074738_R3654</x:v>
      </x:c>
      <x:c r="C322" s="88" t="n">
        <x:v>9</x:v>
      </x:c>
      <x:c r="D322" s="54" t="str">
        <x:v>钱湖南路-南高教园区</x:v>
      </x:c>
      <x:c r="E322" s="88" t="n">
        <x:v>66</x:v>
      </x:c>
      <x:c r="F322" s="88" t="n">
        <x:v>3662</x:v>
      </x:c>
      <x:c r="G322" s="54" t="str">
        <x:v>2024-07-16 08:06:47</x:v>
      </x:c>
      <x:c r="H322" s="54" t="str">
        <x:v>2024-07-16 08:08:24</x:v>
      </x:c>
      <x:c r="I322" s="54" t="str">
        <x:v>traceability-cache+mass</x:v>
      </x:c>
      <x:c r="J322" s="54" t="str">
        <x:v>cache+mass</x:v>
      </x:c>
      <x:c r="K322" s="88" t="n">
        <x:v>1944</x:v>
      </x:c>
      <x:c r="L322" s="60" t="n">
        <x:v>97.15</x:v>
      </x:c>
      <x:c r="M322" s="60" t="n">
        <x:v>1.168911111111111</x:v>
      </x:c>
      <x:c r="N322" s="60" t="n">
        <x:v>237.5</x:v>
      </x:c>
      <x:c r="O322" s="60" t="n">
        <x:v>17.36079070476389</x:v>
      </x:c>
      <x:c r="P322" s="60" t="n">
        <x:v>17.530448014853977</x:v>
      </x:c>
      <x:c r="Q322" s="60" t="n">
        <x:v>0.1696573100900859</x:v>
      </x:c>
      <x:c r="R322" s="63" t="n">
        <x:v>0.9772441415558976</x:v>
      </x:c>
    </x:row>
    <x:row r="323" ht="15.75" customHeight="1">
      <x:c r="A323" s="70" t="n">
        <x:v>67</x:v>
      </x:c>
      <x:c r="B323" s="54" t="str">
        <x:v>UP067_20240716_074738_R3654</x:v>
      </x:c>
      <x:c r="C323" s="88" t="n">
        <x:v>10</x:v>
      </x:c>
      <x:c r="D323" s="54" t="str">
        <x:v>南高教园区-下应路</x:v>
      </x:c>
      <x:c r="E323" s="88" t="n">
        <x:v>66</x:v>
      </x:c>
      <x:c r="F323" s="88" t="n">
        <x:v>3663</x:v>
      </x:c>
      <x:c r="G323" s="54" t="str">
        <x:v>2024-07-16 08:08:59</x:v>
      </x:c>
      <x:c r="H323" s="54" t="str">
        <x:v>2024-07-16 08:10:49</x:v>
      </x:c>
      <x:c r="I323" s="54" t="str">
        <x:v>traceability-cache+mass</x:v>
      </x:c>
      <x:c r="J323" s="54" t="str">
        <x:v>cache+mass</x:v>
      </x:c>
      <x:c r="K323" s="88" t="n">
        <x:v>2220</x:v>
      </x:c>
      <x:c r="L323" s="60" t="n">
        <x:v>110.95</x:v>
      </x:c>
      <x:c r="M323" s="60" t="n">
        <x:v>1.453058055555556</x:v>
      </x:c>
      <x:c r="N323" s="60" t="n">
        <x:v>240.7</x:v>
      </x:c>
      <x:c r="O323" s="60" t="n">
        <x:v>23.182702459416667</x:v>
      </x:c>
      <x:c r="P323" s="60" t="n">
        <x:v>21.871792685818104</x:v>
      </x:c>
      <x:c r="Q323" s="60" t="n">
        <x:v>-1.3109097735985633</x:v>
      </x:c>
      <x:c r="R323" s="63" t="n">
        <x:v>-5.65468920585693</x:v>
      </x:c>
    </x:row>
    <x:row r="324" ht="15.75" customHeight="1">
      <x:c r="A324" s="70" t="n">
        <x:v>67</x:v>
      </x:c>
      <x:c r="B324" s="54" t="str">
        <x:v>UP067_20240716_074738_R3654</x:v>
      </x:c>
      <x:c r="C324" s="88" t="n">
        <x:v>11</x:v>
      </x:c>
      <x:c r="D324" s="54" t="str">
        <x:v>下应路-大洋江</x:v>
      </x:c>
      <x:c r="E324" s="88" t="n">
        <x:v>66</x:v>
      </x:c>
      <x:c r="F324" s="88" t="n">
        <x:v>3664</x:v>
      </x:c>
      <x:c r="G324" s="54" t="str">
        <x:v>2024-07-16 08:11:19</x:v>
      </x:c>
      <x:c r="H324" s="54" t="str">
        <x:v>2024-07-16 08:13:00</x:v>
      </x:c>
      <x:c r="I324" s="54" t="str">
        <x:v>traceability-cache+mass</x:v>
      </x:c>
      <x:c r="J324" s="54" t="str">
        <x:v>cache+mass</x:v>
      </x:c>
      <x:c r="K324" s="88" t="n">
        <x:v>2023</x:v>
      </x:c>
      <x:c r="L324" s="60" t="n">
        <x:v>101.1</x:v>
      </x:c>
      <x:c r="M324" s="60" t="n">
        <x:v>1.214086666666669</x:v>
      </x:c>
      <x:c r="N324" s="60" t="n">
        <x:v>241.5</x:v>
      </x:c>
      <x:c r="O324" s="60" t="n">
        <x:v>14.898037970048613</x:v>
      </x:c>
      <x:c r="P324" s="60" t="n">
        <x:v>14.882268738523376</x:v>
      </x:c>
      <x:c r="Q324" s="60" t="n">
        <x:v>-0.015769231525237</x:v>
      </x:c>
      <x:c r="R324" s="63" t="n">
        <x:v>-0.1058477066372089</x:v>
      </x:c>
    </x:row>
    <x:row r="325" ht="15.75" customHeight="1">
      <x:c r="A325" s="70" t="n">
        <x:v>67</x:v>
      </x:c>
      <x:c r="B325" s="54" t="str">
        <x:v>UP067_20240716_074738_R3654</x:v>
      </x:c>
      <x:c r="C325" s="88" t="n">
        <x:v>12</x:v>
      </x:c>
      <x:c r="D325" s="54" t="str">
        <x:v>大洋江-泗港</x:v>
      </x:c>
      <x:c r="E325" s="88" t="n">
        <x:v>66</x:v>
      </x:c>
      <x:c r="F325" s="88" t="n">
        <x:v>3665</x:v>
      </x:c>
      <x:c r="G325" s="54" t="str">
        <x:v>2024-07-16 08:13:29</x:v>
      </x:c>
      <x:c r="H325" s="54" t="str">
        <x:v>2024-07-16 08:15:01</x:v>
      </x:c>
      <x:c r="I325" s="54" t="str">
        <x:v>traceability-cache+mass</x:v>
      </x:c>
      <x:c r="J325" s="54" t="str">
        <x:v>cache+mass</x:v>
      </x:c>
      <x:c r="K325" s="88" t="n">
        <x:v>1831</x:v>
      </x:c>
      <x:c r="L325" s="60" t="n">
        <x:v>91.5</x:v>
      </x:c>
      <x:c r="M325" s="60" t="n">
        <x:v>0.958582777777778</x:v>
      </x:c>
      <x:c r="N325" s="60" t="n">
        <x:v>239.4</x:v>
      </x:c>
      <x:c r="O325" s="60" t="n">
        <x:v>12.751680497263887</x:v>
      </x:c>
      <x:c r="P325" s="60" t="n">
        <x:v>12.97714898045461</x:v>
      </x:c>
      <x:c r="Q325" s="60" t="n">
        <x:v>0.2254684831907216</x:v>
      </x:c>
      <x:c r="R325" s="63" t="n">
        <x:v>1.768147211962377</x:v>
      </x:c>
    </x:row>
    <x:row r="326" ht="15.75" customHeight="1">
      <x:c r="A326" s="70" t="n">
        <x:v>67</x:v>
      </x:c>
      <x:c r="B326" s="54" t="str">
        <x:v>UP067_20240716_074738_R3654</x:v>
      </x:c>
      <x:c r="C326" s="88" t="n">
        <x:v>13</x:v>
      </x:c>
      <x:c r="D326" s="54" t="str">
        <x:v>泗港-曹隘</x:v>
      </x:c>
      <x:c r="E326" s="88" t="n">
        <x:v>67</x:v>
      </x:c>
      <x:c r="F326" s="88" t="n">
        <x:v>3666</x:v>
      </x:c>
      <x:c r="G326" s="54" t="str">
        <x:v>2024-07-16 08:15:30</x:v>
      </x:c>
      <x:c r="H326" s="54" t="str">
        <x:v>2024-07-16 08:17:35</x:v>
      </x:c>
      <x:c r="I326" s="54" t="str">
        <x:v>traceability-cache+mass</x:v>
      </x:c>
      <x:c r="J326" s="54" t="str">
        <x:v>cache+mass</x:v>
      </x:c>
      <x:c r="K326" s="88" t="n">
        <x:v>2492</x:v>
      </x:c>
      <x:c r="L326" s="60" t="n">
        <x:v>124.55</x:v>
      </x:c>
      <x:c r="M326" s="60" t="n">
        <x:v>1.800083333333339</x:v>
      </x:c>
      <x:c r="N326" s="60" t="n">
        <x:v>238.2</x:v>
      </x:c>
      <x:c r="O326" s="60" t="n">
        <x:v>22.67098276890278</x:v>
      </x:c>
      <x:c r="P326" s="60" t="n">
        <x:v>21.624910130880032</x:v>
      </x:c>
      <x:c r="Q326" s="60" t="n">
        <x:v>-1.046072638022746</x:v>
      </x:c>
      <x:c r="R326" s="63" t="n">
        <x:v>-4.61414773539336</x:v>
      </x:c>
    </x:row>
    <x:row r="327" ht="15.75" customHeight="1">
      <x:c r="A327" s="70" t="n">
        <x:v>67</x:v>
      </x:c>
      <x:c r="B327" s="54" t="str">
        <x:v>UP067_20240716_074738_R3654</x:v>
      </x:c>
      <x:c r="C327" s="88" t="n">
        <x:v>14</x:v>
      </x:c>
      <x:c r="D327" s="54" t="str">
        <x:v>曹隘-柳隘</x:v>
      </x:c>
      <x:c r="E327" s="88" t="n">
        <x:v>67</x:v>
      </x:c>
      <x:c r="F327" s="88" t="n">
        <x:v>3667</x:v>
      </x:c>
      <x:c r="G327" s="54" t="str">
        <x:v>2024-07-16 08:18:05</x:v>
      </x:c>
      <x:c r="H327" s="54" t="str">
        <x:v>2024-07-16 08:19:56</x:v>
      </x:c>
      <x:c r="I327" s="54" t="str">
        <x:v>traceability-cache+mass</x:v>
      </x:c>
      <x:c r="J327" s="54" t="str">
        <x:v>cache+mass</x:v>
      </x:c>
      <x:c r="K327" s="88" t="n">
        <x:v>2216</x:v>
      </x:c>
      <x:c r="L327" s="60" t="n">
        <x:v>110.75</x:v>
      </x:c>
      <x:c r="M327" s="60" t="n">
        <x:v>1.308680138888893</x:v>
      </x:c>
      <x:c r="N327" s="60" t="n">
        <x:v>242.1</x:v>
      </x:c>
      <x:c r="O327" s="60" t="n">
        <x:v>19.025368367208333</x:v>
      </x:c>
      <x:c r="P327" s="60" t="n">
        <x:v>19.82346239467491</x:v>
      </x:c>
      <x:c r="Q327" s="60" t="n">
        <x:v>0.7980940274665772</x:v>
      </x:c>
      <x:c r="R327" s="63" t="n">
        <x:v>4.194893954548355</x:v>
      </x:c>
    </x:row>
    <x:row r="328" ht="15.75" customHeight="1">
      <x:c r="A328" s="70" t="n">
        <x:v>67</x:v>
      </x:c>
      <x:c r="B328" s="54" t="str">
        <x:v>UP067_20240716_074738_R3654</x:v>
      </x:c>
      <x:c r="C328" s="88" t="n">
        <x:v>15</x:v>
      </x:c>
      <x:c r="D328" s="54" t="str">
        <x:v>柳隘-海晏北路</x:v>
      </x:c>
      <x:c r="E328" s="88" t="n">
        <x:v>67</x:v>
      </x:c>
      <x:c r="F328" s="88" t="n">
        <x:v>3668</x:v>
      </x:c>
      <x:c r="G328" s="54" t="str">
        <x:v>2024-07-16 08:20:25</x:v>
      </x:c>
      <x:c r="H328" s="54" t="str">
        <x:v>2024-07-16 08:21:54</x:v>
      </x:c>
      <x:c r="I328" s="54" t="str">
        <x:v>traceability-cache+mass</x:v>
      </x:c>
      <x:c r="J328" s="54" t="str">
        <x:v>cache+mass</x:v>
      </x:c>
      <x:c r="K328" s="88" t="n">
        <x:v>1783</x:v>
      </x:c>
      <x:c r="L328" s="60" t="n">
        <x:v>89.1</x:v>
      </x:c>
      <x:c r="M328" s="60" t="n">
        <x:v>0.981456666666664</x:v>
      </x:c>
      <x:c r="N328" s="60" t="n">
        <x:v>243.8</x:v>
      </x:c>
      <x:c r="O328" s="60" t="n">
        <x:v>16.230029114354167</x:v>
      </x:c>
      <x:c r="P328" s="60" t="n">
        <x:v>16.802242609892097</x:v>
      </x:c>
      <x:c r="Q328" s="60" t="n">
        <x:v>0.5722134955379333</x:v>
      </x:c>
      <x:c r="R328" s="63" t="n">
        <x:v>3.5256467595110856</x:v>
      </x:c>
    </x:row>
    <x:row r="329" ht="15.75" customHeight="1">
      <x:c r="A329" s="70" t="n">
        <x:v>67</x:v>
      </x:c>
      <x:c r="B329" s="54" t="str">
        <x:v>UP067_20240716_074738_R3654</x:v>
      </x:c>
      <x:c r="C329" s="88" t="n">
        <x:v>16</x:v>
      </x:c>
      <x:c r="D329" s="54" t="str">
        <x:v>海晏北路-民安东路</x:v>
      </x:c>
      <x:c r="E329" s="88" t="n">
        <x:v>67</x:v>
      </x:c>
      <x:c r="F329" s="88" t="n">
        <x:v>3669</x:v>
      </x:c>
      <x:c r="G329" s="54" t="str">
        <x:v>2024-07-16 08:22:39</x:v>
      </x:c>
      <x:c r="H329" s="54" t="str">
        <x:v>2024-07-16 08:24:03</x:v>
      </x:c>
      <x:c r="I329" s="54" t="str">
        <x:v>traceability-cache+mass</x:v>
      </x:c>
      <x:c r="J329" s="54" t="str">
        <x:v>cache+mass</x:v>
      </x:c>
      <x:c r="K329" s="88" t="n">
        <x:v>1683</x:v>
      </x:c>
      <x:c r="L329" s="60" t="n">
        <x:v>84.1</x:v>
      </x:c>
      <x:c r="M329" s="60" t="n">
        <x:v>0.8654944444444438</x:v>
      </x:c>
      <x:c r="N329" s="60" t="n">
        <x:v>249.6</x:v>
      </x:c>
      <x:c r="O329" s="60" t="n">
        <x:v>17.886628616993054</x:v>
      </x:c>
      <x:c r="P329" s="60" t="n">
        <x:v>18.270542897517757</x:v>
      </x:c>
      <x:c r="Q329" s="60" t="n">
        <x:v>0.3839142805246993</x:v>
      </x:c>
      <x:c r="R329" s="63" t="n">
        <x:v>2.146375869625674</x:v>
      </x:c>
    </x:row>
    <x:row r="330" ht="15.75" customHeight="1">
      <x:c r="A330" s="70" t="n">
        <x:v>67</x:v>
      </x:c>
      <x:c r="B330" s="54" t="str">
        <x:v>UP067_20240716_074738_R3654</x:v>
      </x:c>
      <x:c r="C330" s="88" t="n">
        <x:v>17</x:v>
      </x:c>
      <x:c r="D330" s="54" t="str">
        <x:v>民安东路-会展中心</x:v>
      </x:c>
      <x:c r="E330" s="88" t="n">
        <x:v>66</x:v>
      </x:c>
      <x:c r="F330" s="88" t="n">
        <x:v>3670</x:v>
      </x:c>
      <x:c r="G330" s="54" t="str">
        <x:v>2024-07-16 08:24:34</x:v>
      </x:c>
      <x:c r="H330" s="54" t="str">
        <x:v>2024-07-16 08:25:50</x:v>
      </x:c>
      <x:c r="I330" s="54" t="str">
        <x:v>traceability-cache+mass</x:v>
      </x:c>
      <x:c r="J330" s="54" t="str">
        <x:v>cache+mass</x:v>
      </x:c>
      <x:c r="K330" s="88" t="n">
        <x:v>1533</x:v>
      </x:c>
      <x:c r="L330" s="60" t="n">
        <x:v>76.6</x:v>
      </x:c>
      <x:c r="M330" s="60" t="n">
        <x:v>0.7257455555555553</x:v>
      </x:c>
      <x:c r="N330" s="60" t="n">
        <x:v>237.61</x:v>
      </x:c>
      <x:c r="O330" s="60" t="n">
        <x:v>13.31470208532639</x:v>
      </x:c>
      <x:c r="P330" s="60" t="n">
        <x:v>13.976679506759035</x:v>
      </x:c>
      <x:c r="Q330" s="60" t="n">
        <x:v>0.6619774214326463</x:v>
      </x:c>
      <x:c r="R330" s="63" t="n">
        <x:v>4.97177794283648</x:v>
      </x:c>
    </x:row>
    <x:row r="331" ht="15.75" customHeight="1">
      <x:c r="A331" s="70" t="n">
        <x:v>67</x:v>
      </x:c>
      <x:c r="B331" s="54" t="str">
        <x:v>UP067_20240716_074738_R3654</x:v>
      </x:c>
      <x:c r="C331" s="88" t="n">
        <x:v>18</x:v>
      </x:c>
      <x:c r="D331" s="54" t="str">
        <x:v>会展中心-院士路</x:v>
      </x:c>
      <x:c r="E331" s="88" t="n">
        <x:v>66</x:v>
      </x:c>
      <x:c r="F331" s="88" t="n">
        <x:v>3671</x:v>
      </x:c>
      <x:c r="G331" s="54" t="str">
        <x:v>2024-07-16 08:26:20</x:v>
      </x:c>
      <x:c r="H331" s="54" t="str">
        <x:v>2024-07-16 08:28:16</x:v>
      </x:c>
      <x:c r="I331" s="54" t="str">
        <x:v>traceability-cache+mass</x:v>
      </x:c>
      <x:c r="J331" s="54" t="str">
        <x:v>cache+mass</x:v>
      </x:c>
      <x:c r="K331" s="88" t="n">
        <x:v>2313</x:v>
      </x:c>
      <x:c r="L331" s="60" t="n">
        <x:v>115.6</x:v>
      </x:c>
      <x:c r="M331" s="60" t="n">
        <x:v>1.552529305555554</x:v>
      </x:c>
      <x:c r="N331" s="60" t="n">
        <x:v>230</x:v>
      </x:c>
      <x:c r="O331" s="60" t="n">
        <x:v>15.681461077333337</x:v>
      </x:c>
      <x:c r="P331" s="60" t="n">
        <x:v>16.004098837335295</x:v>
      </x:c>
      <x:c r="Q331" s="60" t="n">
        <x:v>0.3226377600019586</x:v>
      </x:c>
      <x:c r="R331" s="63" t="n">
        <x:v>2.0574470606461106</x:v>
      </x:c>
    </x:row>
    <x:row r="332" ht="15.75" customHeight="1">
      <x:c r="A332" s="70" t="n">
        <x:v>67</x:v>
      </x:c>
      <x:c r="B332" s="54" t="str">
        <x:v>UP067_20240716_074738_R3654</x:v>
      </x:c>
      <x:c r="C332" s="88" t="n">
        <x:v>19</x:v>
      </x:c>
      <x:c r="D332" s="54" t="str">
        <x:v>院士路-盎孟港</x:v>
      </x:c>
      <x:c r="E332" s="88" t="n">
        <x:v>66</x:v>
      </x:c>
      <x:c r="F332" s="88" t="n">
        <x:v>3672</x:v>
      </x:c>
      <x:c r="G332" s="54" t="str">
        <x:v>2024-07-16 08:28:45</x:v>
      </x:c>
      <x:c r="H332" s="54" t="str">
        <x:v>2024-07-16 08:30:16</x:v>
      </x:c>
      <x:c r="I332" s="54" t="str">
        <x:v>traceability-cache+mass</x:v>
      </x:c>
      <x:c r="J332" s="54" t="str">
        <x:v>cache+mass</x:v>
      </x:c>
      <x:c r="K332" s="88" t="n">
        <x:v>1821</x:v>
      </x:c>
      <x:c r="L332" s="60" t="n">
        <x:v>91</x:v>
      </x:c>
      <x:c r="M332" s="60" t="n">
        <x:v>0.9951348611111112</x:v>
      </x:c>
      <x:c r="N332" s="60" t="n">
        <x:v>222.91</x:v>
      </x:c>
      <x:c r="O332" s="60" t="n">
        <x:v>20.1687715493125</x:v>
      </x:c>
      <x:c r="P332" s="60" t="n">
        <x:v>20.2876921262864</x:v>
      </x:c>
      <x:c r="Q332" s="60" t="n">
        <x:v>0.1189205769739019</x:v>
      </x:c>
      <x:c r="R332" s="63" t="n">
        <x:v>0.5896272694801563</x:v>
      </x:c>
    </x:row>
    <x:row r="333" ht="15.75" customHeight="1">
      <x:c r="A333" s="70" t="n">
        <x:v>67</x:v>
      </x:c>
      <x:c r="B333" s="54" t="str">
        <x:v>UP067_20240716_074738_R3654</x:v>
      </x:c>
      <x:c r="C333" s="88" t="n">
        <x:v>20</x:v>
      </x:c>
      <x:c r="D333" s="54" t="str">
        <x:v>盎孟港-三官堂</x:v>
      </x:c>
      <x:c r="E333" s="88" t="n">
        <x:v>66</x:v>
      </x:c>
      <x:c r="F333" s="88" t="n">
        <x:v>3673</x:v>
      </x:c>
      <x:c r="G333" s="54" t="str">
        <x:v>2024-07-16 08:30:46</x:v>
      </x:c>
      <x:c r="H333" s="54" t="str">
        <x:v>2024-07-16 08:32:57</x:v>
      </x:c>
      <x:c r="I333" s="54" t="str">
        <x:v>traceability-cache+mass</x:v>
      </x:c>
      <x:c r="J333" s="54" t="str">
        <x:v>cache+mass</x:v>
      </x:c>
      <x:c r="K333" s="88" t="n">
        <x:v>2616</x:v>
      </x:c>
      <x:c r="L333" s="60" t="n">
        <x:v>130.75</x:v>
      </x:c>
      <x:c r="M333" s="60" t="n">
        <x:v>1.878493194444443</x:v>
      </x:c>
      <x:c r="N333" s="60" t="n">
        <x:v>217.82</x:v>
      </x:c>
      <x:c r="O333" s="60" t="n">
        <x:v>17.949160277659725</x:v>
      </x:c>
      <x:c r="P333" s="60" t="n">
        <x:v>16.78025296786082</x:v>
      </x:c>
      <x:c r="Q333" s="60" t="n">
        <x:v>-1.1689073097989022</x:v>
      </x:c>
      <x:c r="R333" s="63" t="n">
        <x:v>-6.512323093207725</x:v>
      </x:c>
    </x:row>
    <x:row r="334" ht="15.75" customHeight="1">
      <x:c r="A334" s="70" t="n">
        <x:v>67</x:v>
      </x:c>
      <x:c r="B334" s="54" t="str">
        <x:v>UP067_20240716_074738_R3654</x:v>
      </x:c>
      <x:c r="C334" s="88" t="n">
        <x:v>21</x:v>
      </x:c>
      <x:c r="D334" s="54" t="str">
        <x:v>三官堂-兴庄路</x:v>
      </x:c>
      <x:c r="E334" s="88" t="n">
        <x:v>66</x:v>
      </x:c>
      <x:c r="F334" s="88" t="n">
        <x:v>3674</x:v>
      </x:c>
      <x:c r="G334" s="54" t="str">
        <x:v>2024-07-16 08:33:27</x:v>
      </x:c>
      <x:c r="H334" s="54" t="str">
        <x:v>2024-07-16 08:35:05</x:v>
      </x:c>
      <x:c r="I334" s="54" t="str">
        <x:v>traceability-cache+mass</x:v>
      </x:c>
      <x:c r="J334" s="54" t="str">
        <x:v>cache+mass</x:v>
      </x:c>
      <x:c r="K334" s="88" t="n">
        <x:v>1973</x:v>
      </x:c>
      <x:c r="L334" s="60" t="n">
        <x:v>98.6</x:v>
      </x:c>
      <x:c r="M334" s="60" t="n">
        <x:v>1.081039444444445</x:v>
      </x:c>
      <x:c r="N334" s="60" t="n">
        <x:v>215.94</x:v>
      </x:c>
      <x:c r="O334" s="60" t="n">
        <x:v>11.666102066631945</x:v>
      </x:c>
      <x:c r="P334" s="60" t="n">
        <x:v>11.753324171556091</x:v>
      </x:c>
      <x:c r="Q334" s="60" t="n">
        <x:v>0.087222104924147</x:v>
      </x:c>
      <x:c r="R334" s="63" t="n">
        <x:v>0.7476542244013511</x:v>
      </x:c>
    </x:row>
    <x:row r="335" ht="15.75" customHeight="1">
      <x:c r="A335" s="70" t="n">
        <x:v>67</x:v>
      </x:c>
      <x:c r="B335" s="54" t="str">
        <x:v>UP067_20240716_074738_R3654</x:v>
      </x:c>
      <x:c r="C335" s="88" t="n">
        <x:v>22</x:v>
      </x:c>
      <x:c r="D335" s="54" t="str">
        <x:v>兴庄路-兴海南路</x:v>
      </x:c>
      <x:c r="E335" s="88" t="n">
        <x:v>66</x:v>
      </x:c>
      <x:c r="F335" s="88" t="n">
        <x:v>3675</x:v>
      </x:c>
      <x:c r="G335" s="54" t="str">
        <x:v>2024-07-16 08:35:36</x:v>
      </x:c>
      <x:c r="H335" s="54" t="str">
        <x:v>2024-07-16 08:37:04</x:v>
      </x:c>
      <x:c r="I335" s="54" t="str">
        <x:v>traceability-cache+mass</x:v>
      </x:c>
      <x:c r="J335" s="54" t="str">
        <x:v>cache+mass</x:v>
      </x:c>
      <x:c r="K335" s="88" t="n">
        <x:v>1775</x:v>
      </x:c>
      <x:c r="L335" s="60" t="n">
        <x:v>88.7</x:v>
      </x:c>
      <x:c r="M335" s="60" t="n">
        <x:v>0.9592219444444444</x:v>
      </x:c>
      <x:c r="N335" s="60" t="n">
        <x:v>215.45</x:v>
      </x:c>
      <x:c r="O335" s="60" t="n">
        <x:v>14.425234413333332</x:v>
      </x:c>
      <x:c r="P335" s="60" t="n">
        <x:v>14.593242932217803</x:v>
      </x:c>
      <x:c r="Q335" s="60" t="n">
        <x:v>0.1680085188844696</x:v>
      </x:c>
      <x:c r="R335" s="63" t="n">
        <x:v>1.1646848437289743</x:v>
      </x:c>
    </x:row>
    <x:row r="336" ht="15.75" customHeight="1">
      <x:c r="A336" s="70" t="n">
        <x:v>67</x:v>
      </x:c>
      <x:c r="B336" s="54" t="str">
        <x:v>UP067_20240716_074738_R3654</x:v>
      </x:c>
      <x:c r="C336" s="88" t="n">
        <x:v>23</x:v>
      </x:c>
      <x:c r="D336" s="54" t="str">
        <x:v>兴海南路-梅堰</x:v>
      </x:c>
      <x:c r="E336" s="88" t="n">
        <x:v>66</x:v>
      </x:c>
      <x:c r="F336" s="88" t="n">
        <x:v>3676</x:v>
      </x:c>
      <x:c r="G336" s="54" t="str">
        <x:v>2024-07-16 08:37:33</x:v>
      </x:c>
      <x:c r="H336" s="54" t="str">
        <x:v>2024-07-16 08:38:55</x:v>
      </x:c>
      <x:c r="I336" s="54" t="str">
        <x:v>traceability-cache+mass</x:v>
      </x:c>
      <x:c r="J336" s="54" t="str">
        <x:v>cache+mass</x:v>
      </x:c>
      <x:c r="K336" s="88" t="n">
        <x:v>1625</x:v>
      </x:c>
      <x:c r="L336" s="60" t="n">
        <x:v>81.2</x:v>
      </x:c>
      <x:c r="M336" s="60" t="n">
        <x:v>0.834541527777777</x:v>
      </x:c>
      <x:c r="N336" s="60" t="n">
        <x:v>215.44</x:v>
      </x:c>
      <x:c r="O336" s="60" t="n">
        <x:v>13.094404419319446</x:v>
      </x:c>
      <x:c r="P336" s="60" t="n">
        <x:v>13.89627955732679</x:v>
      </x:c>
      <x:c r="Q336" s="60" t="n">
        <x:v>0.8018751380073446</x:v>
      </x:c>
      <x:c r="R336" s="63" t="n">
        <x:v>6.123800001352183</x:v>
      </x:c>
    </x:row>
    <x:row r="337" ht="15.75" customHeight="1">
      <x:c r="A337" s="70" t="n">
        <x:v>67</x:v>
      </x:c>
      <x:c r="B337" s="54" t="str">
        <x:v>UP067_20240716_074738_R3654</x:v>
      </x:c>
      <x:c r="C337" s="88" t="n">
        <x:v>24</x:v>
      </x:c>
      <x:c r="D337" s="54" t="str">
        <x:v>梅堰-永茂路</x:v>
      </x:c>
      <x:c r="E337" s="88" t="n">
        <x:v>52</x:v>
      </x:c>
      <x:c r="F337" s="88" t="n">
        <x:v>3677</x:v>
      </x:c>
      <x:c r="G337" s="54" t="str">
        <x:v>2024-07-16 08:39:24</x:v>
      </x:c>
      <x:c r="H337" s="54" t="str">
        <x:v>2024-07-16 08:44:43</x:v>
      </x:c>
      <x:c r="I337" s="54" t="str">
        <x:v>traceability-cache+mass</x:v>
      </x:c>
      <x:c r="J337" s="54" t="str">
        <x:v>cache+mass</x:v>
      </x:c>
      <x:c r="K337" s="88" t="n">
        <x:v>6380</x:v>
      </x:c>
      <x:c r="L337" s="60" t="n">
        <x:v>318.95</x:v>
      </x:c>
      <x:c r="M337" s="60" t="n">
        <x:v>3.677284583333343</x:v>
      </x:c>
      <x:c r="N337" s="60" t="n">
        <x:v>215.44</x:v>
      </x:c>
      <x:c r="O337" s="60" t="n">
        <x:v>28.987488865451382</x:v>
      </x:c>
      <x:c r="P337" s="60" t="n">
        <x:v>28.23958564470064</x:v>
      </x:c>
      <x:c r="Q337" s="60" t="n">
        <x:v>-0.747903220750748</x:v>
      </x:c>
      <x:c r="R337" s="63" t="n">
        <x:v>-2.580089721542363</x:v>
      </x:c>
    </x:row>
    <x:row r="338" ht="15.75" customHeight="1">
      <x:c r="A338" s="70" t="n">
        <x:v>67</x:v>
      </x:c>
      <x:c r="B338" s="54" t="str">
        <x:v>UP067_20240716_074738_R3654</x:v>
      </x:c>
      <x:c r="C338" s="88" t="n">
        <x:v>25</x:v>
      </x:c>
      <x:c r="D338" s="54" t="str">
        <x:v>永茂路-镇海大道</x:v>
      </x:c>
      <x:c r="E338" s="88" t="n">
        <x:v>66</x:v>
      </x:c>
      <x:c r="F338" s="88" t="n">
        <x:v>3678</x:v>
      </x:c>
      <x:c r="G338" s="54" t="str">
        <x:v>2024-07-16 08:45:11</x:v>
      </x:c>
      <x:c r="H338" s="54" t="str">
        <x:v>2024-07-16 08:47:34</x:v>
      </x:c>
      <x:c r="I338" s="54" t="str">
        <x:v>traceability-cache+mass</x:v>
      </x:c>
      <x:c r="J338" s="54" t="str">
        <x:v>cache+mass</x:v>
      </x:c>
      <x:c r="K338" s="88" t="n">
        <x:v>2852</x:v>
      </x:c>
      <x:c r="L338" s="60" t="n">
        <x:v>142.55</x:v>
      </x:c>
      <x:c r="M338" s="60" t="n">
        <x:v>2.133014166666664</x:v>
      </x:c>
      <x:c r="N338" s="60" t="n">
        <x:v>215.34</x:v>
      </x:c>
      <x:c r="O338" s="60" t="n">
        <x:v>17.676847558104168</x:v>
      </x:c>
      <x:c r="P338" s="60" t="n">
        <x:v>17.34878516015881</x:v>
      </x:c>
      <x:c r="Q338" s="60" t="n">
        <x:v>-0.3280623979453594</x:v>
      </x:c>
      <x:c r="R338" s="63" t="n">
        <x:v>-1.855887464475843</x:v>
      </x:c>
    </x:row>
    <x:row r="339" ht="15.75" customHeight="1">
      <x:c r="A339" s="71" t="n">
        <x:v>67</x:v>
      </x:c>
      <x:c r="B339" s="57" t="str">
        <x:v>UP067_20240716_074738_R3654</x:v>
      </x:c>
      <x:c r="C339" s="89" t="n">
        <x:v>26</x:v>
      </x:c>
      <x:c r="D339" s="57" t="str">
        <x:v>镇海大道-骆驼桥</x:v>
      </x:c>
      <x:c r="E339" s="89" t="n">
        <x:v>66</x:v>
      </x:c>
      <x:c r="F339" s="89" t="n">
        <x:v>3679</x:v>
      </x:c>
      <x:c r="G339" s="57" t="str">
        <x:v>2024-07-16 08:48:02</x:v>
      </x:c>
      <x:c r="H339" s="57" t="str">
        <x:v>2024-07-16 08:49:59</x:v>
      </x:c>
      <x:c r="I339" s="57" t="str">
        <x:v>traceability-cache+mass</x:v>
      </x:c>
      <x:c r="J339" s="57" t="str">
        <x:v>cache+mass</x:v>
      </x:c>
      <x:c r="K339" s="89" t="n">
        <x:v>2340</x:v>
      </x:c>
      <x:c r="L339" s="61" t="n">
        <x:v>116.95</x:v>
      </x:c>
      <x:c r="M339" s="61" t="n">
        <x:v>1.5978004166666648</x:v>
      </x:c>
      <x:c r="N339" s="61" t="n">
        <x:v>215.24</x:v>
      </x:c>
      <x:c r="O339" s="61" t="n">
        <x:v>20.234487671222222</x:v>
      </x:c>
      <x:c r="P339" s="61" t="n">
        <x:v>18.66289797991401</x:v>
      </x:c>
      <x:c r="Q339" s="61" t="n">
        <x:v>-1.5715896913082106</x:v>
      </x:c>
      <x:c r="R339" s="64" t="n">
        <x:v>-7.7668865001378204</x:v>
      </x:c>
    </x:row>
  </x:sheetData>
  <x:conditionalFormatting sqref="R2:R339">
    <x:cfRule type="colorScale" priority="1">
      <x:colorScale>
        <x:cfvo type="min"/>
        <x:cfvo type="num" val="0"/>
        <x:cfvo type="max"/>
        <x:color rgb="FFC94C4C"/>
        <x:color rgb="FFFFF7E6"/>
        <x:color rgb="FF2E8B7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4045e26fe24735"/>
  </x:tableParts>
</x:worksheet>
</file>